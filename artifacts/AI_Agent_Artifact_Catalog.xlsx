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README" sheetId="1" state="visible" r:id="rId3"/>
    <sheet name="02_Master_Inventory" sheetId="2" state="visible" r:id="rId4"/>
    <sheet name="03_Paths_Binaries" sheetId="3" state="visible" r:id="rId5"/>
    <sheet name="04_Credential_Artifacts" sheetId="4" state="visible" r:id="rId6"/>
    <sheet name="05_Registry_Artifacts" sheetId="5" state="visible" r:id="rId7"/>
    <sheet name="06_Network_Artifacts" sheetId="6" state="visible" r:id="rId8"/>
    <sheet name="07_Process_Service" sheetId="7" state="visible" r:id="rId9"/>
    <sheet name="08_MCP_Artifacts" sheetId="8" state="visible" r:id="rId10"/>
    <sheet name="09_Detections" sheetId="9" state="visible" r:id="rId11"/>
    <sheet name="10_MITRE_Mapping" sheetId="10" state="visible" r:id="rId12"/>
    <sheet name="11_Threat_Intel" sheetId="11" state="visible" r:id="rId13"/>
    <sheet name="12_Summary_Dashboard" sheetId="12" state="visible" r:id="rId14"/>
  </sheets>
  <definedNames>
    <definedName function="false" hidden="true" localSheetId="1" name="_xlnm._FilterDatabase" vbProcedure="false">02_Master_Inventory!$A$1:$N$45</definedName>
    <definedName function="false" hidden="true" localSheetId="2" name="_xlnm._FilterDatabase" vbProcedure="false">03_Paths_Binaries!$A$1:$H$151</definedName>
    <definedName function="false" hidden="true" localSheetId="3" name="_xlnm._FilterDatabase" vbProcedure="false">04_Credential_Artifacts!$A$1:$H$33</definedName>
    <definedName function="false" hidden="true" localSheetId="4" name="_xlnm._FilterDatabase" vbProcedure="false">05_Registry_Artifacts!$A$1:$H$19</definedName>
    <definedName function="false" hidden="true" localSheetId="5" name="_xlnm._FilterDatabase" vbProcedure="false">06_Network_Artifacts!$A$1:$J$50</definedName>
    <definedName function="false" hidden="true" localSheetId="6" name="_xlnm._FilterDatabase" vbProcedure="false">07_Process_Service!$A$1:$I$38</definedName>
    <definedName function="false" hidden="true" localSheetId="7" name="_xlnm._FilterDatabase" vbProcedure="false">08_MCP_Artifacts!$A$1:$I$26</definedName>
    <definedName function="false" hidden="true" localSheetId="8" name="_xlnm._FilterDatabase" vbProcedure="false">09_Detections!$A$1:$J$23</definedName>
    <definedName function="false" hidden="true" localSheetId="9" name="_xlnm._FilterDatabase" vbProcedure="false">10_MITRE_Mapping!$A$1:$G$31</definedName>
    <definedName function="false" hidden="true" localSheetId="10" name="_xlnm._FilterDatabase" vbProcedure="false">11_Threat_Intel!$A$1:$H$15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<sst xmlns="http://schemas.openxmlformats.org/spreadsheetml/2006/main" count="3999" uniqueCount="1607">
  <si>
    <t xml:space="preserve">AI Agent Artifact Catalog</t>
  </si>
  <si>
    <t xml:space="preserve">Part of ai-dfir-toolkit - what AI agents leave on an endpoint, and how to collect it</t>
  </si>
  <si>
    <t xml:space="preserve">Field</t>
  </si>
  <si>
    <t xml:space="preserve">Value</t>
  </si>
  <si>
    <t xml:space="preserve">Notes</t>
  </si>
  <si>
    <t xml:space="preserve">Version</t>
  </si>
  <si>
    <t xml:space="preserve">1.0</t>
  </si>
  <si>
    <t xml:space="preserve">Initial release</t>
  </si>
  <si>
    <t xml:space="preserve">Compiled</t>
  </si>
  <si>
    <t xml:space="preserve">2026-08-11</t>
  </si>
  <si>
    <t xml:space="preserve">Research current as of Aug 2026</t>
  </si>
  <si>
    <t xml:space="preserve">Author</t>
  </si>
  <si>
    <t xml:space="preserve">Raymond DePalma</t>
  </si>
  <si>
    <t xml:space="preserve">Independent research in a personal capacity - not affiliated with or endorsed by any employer</t>
  </si>
  <si>
    <t xml:space="preserve">Schema basis</t>
  </si>
  <si>
    <t xml:space="preserve">Own JSON Schema; exports to ForensicArtifacts</t>
  </si>
  <si>
    <t xml:space="preserve">Field mapping below for interoperability</t>
  </si>
  <si>
    <t xml:space="preserve">Scope</t>
  </si>
  <si>
    <t xml:space="preserve">AI coding agents, MCP clients/servers, local LLM runtimes, agentic workflow engines, browser/computer-use agents</t>
  </si>
  <si>
    <t xml:space="preserve">Audience</t>
  </si>
  <si>
    <t xml:space="preserve">DFIR analysts, detection engineers, threat hunters, IR consultants</t>
  </si>
  <si>
    <t xml:space="preserve">SCHEMA MAPPING</t>
  </si>
  <si>
    <t xml:space="preserve">Tab</t>
  </si>
  <si>
    <t xml:space="preserve">LOLBAS Equivalent</t>
  </si>
  <si>
    <t xml:space="preserve">LOLRMM Equivalent</t>
  </si>
  <si>
    <t xml:space="preserve">02_Master_Inventory</t>
  </si>
  <si>
    <t xml:space="preserve">Name / Description / Author / Created</t>
  </si>
  <si>
    <t xml:space="preserve">Name / Description / Category / Details</t>
  </si>
  <si>
    <t xml:space="preserve">03_Paths_Binaries</t>
  </si>
  <si>
    <t xml:space="preserve">Full_Path / Command</t>
  </si>
  <si>
    <t xml:space="preserve">Paths</t>
  </si>
  <si>
    <t xml:space="preserve">04_File_Config_Artifacts</t>
  </si>
  <si>
    <t xml:space="preserve">-</t>
  </si>
  <si>
    <t xml:space="preserve">Artifacts.Files</t>
  </si>
  <si>
    <t xml:space="preserve">05_Registry_Artifacts</t>
  </si>
  <si>
    <t xml:space="preserve">Artifacts.Registry</t>
  </si>
  <si>
    <t xml:space="preserve">06_Network_Artifacts</t>
  </si>
  <si>
    <t xml:space="preserve">Artifacts.Network</t>
  </si>
  <si>
    <t xml:space="preserve">07_Process_Service_Artifacts</t>
  </si>
  <si>
    <t xml:space="preserve">Artifacts.Processes / Artifacts.Services</t>
  </si>
  <si>
    <t xml:space="preserve">08_MCP_Server_Artifacts</t>
  </si>
  <si>
    <t xml:space="preserve">(LOLAI-specific: no LOLRMM analogue)</t>
  </si>
  <si>
    <t xml:space="preserve">09_Detections</t>
  </si>
  <si>
    <t xml:space="preserve">Detection.IOC / Sigma / Elastic / BlockRule</t>
  </si>
  <si>
    <t xml:space="preserve">Detections</t>
  </si>
  <si>
    <t xml:space="preserve">10_MITRE_Mapping</t>
  </si>
  <si>
    <t xml:space="preserve">Commands.MitreID</t>
  </si>
  <si>
    <t xml:space="preserve">11_Threat_Intel</t>
  </si>
  <si>
    <t xml:space="preserve">References / Acknowledgement</t>
  </si>
  <si>
    <t xml:space="preserve">12_Hunt_Queries</t>
  </si>
  <si>
    <t xml:space="preserve">Detection.Sigma</t>
  </si>
  <si>
    <t xml:space="preserve">Detections.Splunk / Elastic</t>
  </si>
  <si>
    <t xml:space="preserve">RISK RATING LEGEND</t>
  </si>
  <si>
    <t xml:space="preserve">Rating</t>
  </si>
  <si>
    <t xml:space="preserve">Meaning</t>
  </si>
  <si>
    <t xml:space="preserve">Analyst Action</t>
  </si>
  <si>
    <t xml:space="preserve">Critical</t>
  </si>
  <si>
    <t xml:space="preserve">Arbitrary code execution primitive, unauthenticated network listener, or documented ITW abuse</t>
  </si>
  <si>
    <t xml:space="preserve">Inventory + alert + policy-gate. Escalate on discovery outside sanctioned use.</t>
  </si>
  <si>
    <t xml:space="preserve">High</t>
  </si>
  <si>
    <t xml:space="preserve">Plaintext credential storage, child-process spawning, or authenticated-session automation</t>
  </si>
  <si>
    <t xml:space="preserve">Inventory + alert. DLP the credential paths.</t>
  </si>
  <si>
    <t xml:space="preserve">Medium</t>
  </si>
  <si>
    <t xml:space="preserve">Cloud inference with local config footprint; data-egress risk but no local exec primitive</t>
  </si>
  <si>
    <t xml:space="preserve">Inventory + baseline. Alert on anomalous egress volume.</t>
  </si>
  <si>
    <t xml:space="preserve">Low</t>
  </si>
  <si>
    <t xml:space="preserve">Thin/no endpoint footprint; telemetry is network or cloud-audit side</t>
  </si>
  <si>
    <t xml:space="preserve">Cloud/network telemetry only.</t>
  </si>
  <si>
    <t xml:space="preserve">CONFIDENCE LEGEND</t>
  </si>
  <si>
    <t xml:space="preserve">Confidence</t>
  </si>
  <si>
    <t xml:space="preserve">Vendor documentation or first-party source confirms the artifact path/behavior</t>
  </si>
  <si>
    <t xml:space="preserve">Corroborated across multiple third-party sources or sandbox analysis</t>
  </si>
  <si>
    <t xml:space="preserve">Thin public sourcing - VALIDATE IN YOUR OWN ENVIRONMENT BEFORE DEPLOYING DETECTIONS</t>
  </si>
  <si>
    <t xml:space="preserve">CRITICAL CAVEATS</t>
  </si>
  <si>
    <t xml:space="preserve">1</t>
  </si>
  <si>
    <t xml:space="preserve">Paths vary by install method (npm global vs native installer vs Docker vs MSIX/Store) and by version. Validate before hard-coding.</t>
  </si>
  <si>
    <t xml:space="preserve">2</t>
  </si>
  <si>
    <t xml:space="preserve">Presence alone is NOT malicious. Most of these are sanctioned developer tools. Prioritize network exposure, credential exposure, and process-tree anomalies over mere presence.</t>
  </si>
  <si>
    <t xml:space="preserve">3</t>
  </si>
  <si>
    <t xml:space="preserve">MITRE ATLAS technique IDs/names were re-scoped in the Oct 2025 agentic update (notably AML.T0053). Confirm current IDs at atlas.mitre.org before publishing internal detections.</t>
  </si>
  <si>
    <t xml:space="preserve">4</t>
  </si>
  <si>
    <t xml:space="preserve">Windows MSIX/Store installs virtualize %APPDATA% - always check the Packages\...\LocalCache\Roaming path in addition to the documented one.</t>
  </si>
  <si>
    <t xml:space="preserve">5</t>
  </si>
  <si>
    <t xml:space="preserve">Lives at ai-dfir-toolkit/artifacts/ as machine-readable YAML. This workbook is a snapshot; the YAML is the source of truth.</t>
  </si>
  <si>
    <t xml:space="preserve">AIRT ID</t>
  </si>
  <si>
    <t xml:space="preserve">Tool</t>
  </si>
  <si>
    <t xml:space="preserve">Vendor / Project</t>
  </si>
  <si>
    <t xml:space="preserve">Category</t>
  </si>
  <si>
    <t xml:space="preserve">Primary OS</t>
  </si>
  <si>
    <t xml:space="preserve">Execution Model</t>
  </si>
  <si>
    <t xml:space="preserve">Local Code Exec</t>
  </si>
  <si>
    <t xml:space="preserve">Local Listener</t>
  </si>
  <si>
    <t xml:space="preserve">Plaintext Creds</t>
  </si>
  <si>
    <t xml:space="preserve">MCP Capable</t>
  </si>
  <si>
    <t xml:space="preserve">Risk Rating</t>
  </si>
  <si>
    <t xml:space="preserve">Description</t>
  </si>
  <si>
    <t xml:space="preserve">Abuse Potential</t>
  </si>
  <si>
    <t xml:space="preserve">AIRT-0001</t>
  </si>
  <si>
    <t xml:space="preserve">Claude Code</t>
  </si>
  <si>
    <t xml:space="preserve">Anthropic</t>
  </si>
  <si>
    <t xml:space="preserve">AI Coding Agent (CLI)</t>
  </si>
  <si>
    <t xml:space="preserve">Win/macOS/Linux</t>
  </si>
  <si>
    <t xml:space="preserve">Cloud inference + local tool exec</t>
  </si>
  <si>
    <t xml:space="preserve">Yes</t>
  </si>
  <si>
    <t xml:space="preserve">No</t>
  </si>
  <si>
    <t xml:space="preserve">Yes (client+server)</t>
  </si>
  <si>
    <t xml:space="preserve">Terminal-native agentic coding assistant. Reads/writes files, runs shell commands, invokes MCP servers.</t>
  </si>
  <si>
    <t xml:space="preserve">Documented ITW: Anthropic GTG-2002 'vibe hacking' - autonomous recon, credential harvesting, exploit dev, extortion against 17+ orgs.</t>
  </si>
  <si>
    <t xml:space="preserve">AIRT-0002</t>
  </si>
  <si>
    <t xml:space="preserve">Cursor</t>
  </si>
  <si>
    <t xml:space="preserve">Anysphere</t>
  </si>
  <si>
    <t xml:space="preserve">AI Coding Agent (IDE)</t>
  </si>
  <si>
    <t xml:space="preserve">Partial</t>
  </si>
  <si>
    <t xml:space="preserve">Yes (client)</t>
  </si>
  <si>
    <t xml:space="preserve">VS Code fork with agentic Composer/Agent mode. Executes terminal commands and edits files autonomously.</t>
  </si>
  <si>
    <t xml:space="preserve">Agent mode spawns shells. .cursorrules is a prompt-injection surface. MCP config = arbitrary child process launch.</t>
  </si>
  <si>
    <t xml:space="preserve">AIRT-0003</t>
  </si>
  <si>
    <t xml:space="preserve">GitHub Copilot (Agent Mode / CLI)</t>
  </si>
  <si>
    <t xml:space="preserve">GitHub/Microsoft</t>
  </si>
  <si>
    <t xml:space="preserve">AI Coding Agent (IDE/CLI)</t>
  </si>
  <si>
    <t xml:space="preserve">copilot-language-server binary + Copilot CLI. Agent mode runs multi-step tasks with tool calls; bundles a GitHub MCP server.</t>
  </si>
  <si>
    <t xml:space="preserve">Custom .agent.md files define autonomous behavior. Token exchange via api.github.com/copilot_internal/v2/token.</t>
  </si>
  <si>
    <t xml:space="preserve">AIRT-0004</t>
  </si>
  <si>
    <t xml:space="preserve">Aider</t>
  </si>
  <si>
    <t xml:space="preserve">Paul Gauthier (OSS)</t>
  </si>
  <si>
    <t xml:space="preserve">Cloud or local inference + local file edit</t>
  </si>
  <si>
    <t xml:space="preserve">Yes (transient)</t>
  </si>
  <si>
    <t xml:space="preserve">Python pair-programming agent operating directly on git repos. Auto-commits changes.</t>
  </si>
  <si>
    <t xml:space="preserve">Chat history files (.aider.chat.history.md) are a source-code exfil goldmine. OAuth flow opens transient localhost listener 8484-8584.</t>
  </si>
  <si>
    <t xml:space="preserve">AIRT-0005</t>
  </si>
  <si>
    <t xml:space="preserve">Continue.dev</t>
  </si>
  <si>
    <t xml:space="preserve">Continue (OSS)</t>
  </si>
  <si>
    <t xml:space="preserve">AI Coding Agent (IDE ext)</t>
  </si>
  <si>
    <t xml:space="preserve">Cloud or local inference</t>
  </si>
  <si>
    <t xml:space="preserve">VS Code / JetBrains extension with agent mode, custom models, and MCP support.</t>
  </si>
  <si>
    <t xml:space="preserve">config.yaml can point at ANY base_url including attacker-controlled inference proxies. Rules files = injection surface.</t>
  </si>
  <si>
    <t xml:space="preserve">AIRT-0006</t>
  </si>
  <si>
    <t xml:space="preserve">Codeium / Windsurf</t>
  </si>
  <si>
    <t xml:space="preserve">Codeium (Exafunction)</t>
  </si>
  <si>
    <t xml:space="preserve">Windsurf IDE with Cascade agentic flow; Codeium plugins for other editors. Downloads its own language-server binary.</t>
  </si>
  <si>
    <t xml:space="preserve">Plugin downloads and executes a remote binary. Cascade runs terminal commands. Indexes entire codebase to cloud.</t>
  </si>
  <si>
    <t xml:space="preserve">AIRT-0007</t>
  </si>
  <si>
    <t xml:space="preserve">Devin</t>
  </si>
  <si>
    <t xml:space="preserve">Cognition</t>
  </si>
  <si>
    <t xml:space="preserve">Autonomous SWE Agent (Cloud)</t>
  </si>
  <si>
    <t xml:space="preserve">Browser / Cloud VM</t>
  </si>
  <si>
    <t xml:space="preserve">Fully cloud-hosted</t>
  </si>
  <si>
    <t xml:space="preserve">No (remote)</t>
  </si>
  <si>
    <t xml:space="preserve">Cloud-hosted autonomous software engineer accessed via web UI, Slack, or API. Minimal endpoint footprint.</t>
  </si>
  <si>
    <t xml:space="preserve">Repo access tokens live in Cognition cloud. Endpoint indicator is outbound DNS only. THIN PUBLIC SOURCING.</t>
  </si>
  <si>
    <t xml:space="preserve">AIRT-0008</t>
  </si>
  <si>
    <t xml:space="preserve">Amazon Q Developer (ex-CodeWhisperer)</t>
  </si>
  <si>
    <t xml:space="preserve">AWS</t>
  </si>
  <si>
    <t xml:space="preserve">Cloud inference + local agent</t>
  </si>
  <si>
    <t xml:space="preserve">No (SSO token cache)</t>
  </si>
  <si>
    <t xml:space="preserve">AWS coding assistant. Node-based language server (aws-lsp-codewhisperer). CodeWhisperer folded in 2024-04-30; IDE plugins EOL 2027-04-30.</t>
  </si>
  <si>
    <t xml:space="preserve">SSO token cache in ~/.aws/sso/cache. Agent can execute local commands in newer builds.</t>
  </si>
  <si>
    <t xml:space="preserve">AIRT-0009</t>
  </si>
  <si>
    <t xml:space="preserve">Tabnine</t>
  </si>
  <si>
    <t xml:space="preserve">AI Code Completion / Agent</t>
  </si>
  <si>
    <t xml:space="preserve">Cloud, self-hosted, or fully local</t>
  </si>
  <si>
    <t xml:space="preserve">Optional (self-hosted)</t>
  </si>
  <si>
    <t xml:space="preserve">Completion + agent platform. Editor plugin spawns and supervises a downloaded platform-specific binary.</t>
  </si>
  <si>
    <t xml:space="preserve">binary_path is configurable = binary substitution risk. Self-hosted deployment adds K8s/Helm footprint.</t>
  </si>
  <si>
    <t xml:space="preserve">AIRT-0010</t>
  </si>
  <si>
    <t xml:space="preserve">Supermaven</t>
  </si>
  <si>
    <t xml:space="preserve">AI Code Completion</t>
  </si>
  <si>
    <t xml:space="preserve">Cloud inference</t>
  </si>
  <si>
    <t xml:space="preserve">Low-latency completion agent with very large context window. Downloads its own agent binary. Integrated in Zed and VS Code.</t>
  </si>
  <si>
    <t xml:space="preserve">Large context = large code egress per request. THIN PUBLIC SOURCING on canonical paths.</t>
  </si>
  <si>
    <t xml:space="preserve">AIRT-0011</t>
  </si>
  <si>
    <t xml:space="preserve">Claude Desktop (MCP host)</t>
  </si>
  <si>
    <t xml:space="preserve">AI Desktop Agent / MCP Host</t>
  </si>
  <si>
    <t xml:space="preserve">Cloud inference + local MCP server exec</t>
  </si>
  <si>
    <t xml:space="preserve">Yes (via MCP)</t>
  </si>
  <si>
    <t xml:space="preserve">Yes (in MCP env blocks)</t>
  </si>
  <si>
    <t xml:space="preserve">Yes (host)</t>
  </si>
  <si>
    <t xml:space="preserve">Desktop chat client that launches arbitrary local MCP servers at app start per claude_desktop_config.json. Bundles a Node.js runtime.</t>
  </si>
  <si>
    <t xml:space="preserve">THE key persistence+execution primitive. Any mcpServers entry silently spawns a child process with inherited env on every app launch.</t>
  </si>
  <si>
    <t xml:space="preserve">AIRT-0012</t>
  </si>
  <si>
    <t xml:space="preserve">AutoGPT</t>
  </si>
  <si>
    <t xml:space="preserve">Significant Gravitas (OSS)</t>
  </si>
  <si>
    <t xml:space="preserve">Autonomous Agent Framework</t>
  </si>
  <si>
    <t xml:space="preserve">Cloud inference + local exec</t>
  </si>
  <si>
    <t xml:space="preserve">Yes (self-hosted UI)</t>
  </si>
  <si>
    <t xml:space="preserve">Yes (.env)</t>
  </si>
  <si>
    <t xml:space="preserve">Python autonomous agent loop; goal-driven, self-prompting. Commonly self-hosted via Docker.</t>
  </si>
  <si>
    <t xml:space="preserve">Executes generated code and shell commands in a loop with minimal supervision. Workspace dir accumulates agent-generated files.</t>
  </si>
  <si>
    <t xml:space="preserve">AIRT-0013</t>
  </si>
  <si>
    <t xml:space="preserve">AgentGPT</t>
  </si>
  <si>
    <t xml:space="preserve">Reworkd (OSS)</t>
  </si>
  <si>
    <t xml:space="preserve">Yes (self-hosted)</t>
  </si>
  <si>
    <t xml:space="preserve">Browser-based autonomous agent, self-hostable via Docker.</t>
  </si>
  <si>
    <t xml:space="preserve">Self-hosted instance exposes a web UI; API keys in .env.</t>
  </si>
  <si>
    <t xml:space="preserve">AIRT-0014</t>
  </si>
  <si>
    <t xml:space="preserve">Microsoft Copilot Studio Agents</t>
  </si>
  <si>
    <t xml:space="preserve">Microsoft</t>
  </si>
  <si>
    <t xml:space="preserve">Low-code Agent Platform (Cloud)</t>
  </si>
  <si>
    <t xml:space="preserve">Browser / M365</t>
  </si>
  <si>
    <t xml:space="preserve">Yes (connectors)</t>
  </si>
  <si>
    <t xml:space="preserve">Low-code agent builder hosted in Microsoft cloud. Endpoint footprint is browser only.</t>
  </si>
  <si>
    <t xml:space="preserve">Primary telemetry is M365/Purview audit, not endpoint. CrowdStrike ships AIDR for Copilot Studio Agents.</t>
  </si>
  <si>
    <t xml:space="preserve">AIRT-0015</t>
  </si>
  <si>
    <t xml:space="preserve">Open Interpreter</t>
  </si>
  <si>
    <t xml:space="preserve">Open Interpreter (OSS)</t>
  </si>
  <si>
    <t xml:space="preserve">Local Code-Execution Agent</t>
  </si>
  <si>
    <t xml:space="preserve">Cloud or local inference + local exec</t>
  </si>
  <si>
    <t xml:space="preserve">Natural-language to executed code on the host. Supports --local via llamafile (no API key needed).</t>
  </si>
  <si>
    <t xml:space="preserve">BY DESIGN a code execution primitive. --allow-all-tools / autopilot runs commands with NO user confirmation. Effectively a LOLBIN.</t>
  </si>
  <si>
    <t xml:space="preserve">AIRT-0016</t>
  </si>
  <si>
    <t xml:space="preserve">GPT Pilot</t>
  </si>
  <si>
    <t xml:space="preserve">Pythagora (OSS)</t>
  </si>
  <si>
    <t xml:space="preserve">Autonomous App-Builder Agent</t>
  </si>
  <si>
    <t xml:space="preserve">Python agent that scaffolds and runs full applications, executing generated code.</t>
  </si>
  <si>
    <t xml:space="preserve">Runs generated code on host. THIN PUBLIC SOURCING on canonical paths - inventory by Python process command line.</t>
  </si>
  <si>
    <t xml:space="preserve">AIRT-0017</t>
  </si>
  <si>
    <t xml:space="preserve">Ollama</t>
  </si>
  <si>
    <t xml:space="preserve">Ollama Inc. (OSS)</t>
  </si>
  <si>
    <t xml:space="preserve">Local LLM Runtime</t>
  </si>
  <si>
    <t xml:space="preserve">Fully local inference</t>
  </si>
  <si>
    <t xml:space="preserve">Partial (tool calling)</t>
  </si>
  <si>
    <t xml:space="preserve">Yes - 11434</t>
  </si>
  <si>
    <t xml:space="preserve">N/A</t>
  </si>
  <si>
    <t xml:space="preserve">Yes (via clients)</t>
  </si>
  <si>
    <t xml:space="preserve">Most widely deployed local LLM server. OpenAI-compatible API. NO DEFAULT AUTHENTICATION.</t>
  </si>
  <si>
    <t xml:space="preserve">LLMjacking: ~175,000 exposed hosts across 130 countries observed by SentinelLABS+Censys (Jan 2026); ~50% tool-calling enabled. Free compute for offensive agentic tooling.</t>
  </si>
  <si>
    <t xml:space="preserve">AIRT-0018</t>
  </si>
  <si>
    <t xml:space="preserve">LM Studio</t>
  </si>
  <si>
    <t xml:space="preserve">LM Studio (Element Labs)</t>
  </si>
  <si>
    <t xml:space="preserve">Local LLM Runtime (GUI)</t>
  </si>
  <si>
    <t xml:space="preserve">Yes - 1234</t>
  </si>
  <si>
    <t xml:space="preserve">GUI local model runner with OpenAI-compatible server, CLI (lms), and daemon (llmster). MCP host capable.</t>
  </si>
  <si>
    <t xml:space="preserve">'Serve on Local Network' / LMS_SERVER_HOST=0.0.0.0 exposes the API. Model download = unvetted binary blobs on disk.</t>
  </si>
  <si>
    <t xml:space="preserve">AIRT-0019</t>
  </si>
  <si>
    <t xml:space="preserve">Jan.ai</t>
  </si>
  <si>
    <t xml:space="preserve">Menlo Research (OSS)</t>
  </si>
  <si>
    <t xml:space="preserve">Yes - 1337 / 8080</t>
  </si>
  <si>
    <t xml:space="preserve">Open-source ChatGPT alternative running fully offline; ships a headless daemon mode.</t>
  </si>
  <si>
    <t xml:space="preserve">Linux daemon reads /etc/jan/jan.env - a system-level config an attacker can modify for persistence.</t>
  </si>
  <si>
    <t xml:space="preserve">AIRT-0020</t>
  </si>
  <si>
    <t xml:space="preserve">GPT4All</t>
  </si>
  <si>
    <t xml:space="preserve">Nomic AI</t>
  </si>
  <si>
    <t xml:space="preserve">Yes - 4891 (localhost)</t>
  </si>
  <si>
    <t xml:space="preserve">Desktop local LLM app with optional localhost-only HTTP API server and LocalDocs RAG.</t>
  </si>
  <si>
    <t xml:space="preserve">LocalDocs indexes local file trees into the model context - a data-aggregation surface for exfil.</t>
  </si>
  <si>
    <t xml:space="preserve">AIRT-0021</t>
  </si>
  <si>
    <t xml:space="preserve">llama.cpp</t>
  </si>
  <si>
    <t xml:space="preserve">ggml-org (OSS)</t>
  </si>
  <si>
    <t xml:space="preserve">Local LLM Runtime (CLI/lib)</t>
  </si>
  <si>
    <t xml:space="preserve">Yes - 8080 (server)</t>
  </si>
  <si>
    <t xml:space="preserve">Reference C/C++ inference engine underlying most local runtimes. llama-server / llama-cli / llama-run binaries.</t>
  </si>
  <si>
    <t xml:space="preserve">Statically compiled, easily renamed and dropped as a portable binary. GGUF model files can be very large (egress/storage anomaly).</t>
  </si>
  <si>
    <t xml:space="preserve">AIRT-0022</t>
  </si>
  <si>
    <t xml:space="preserve">text-generation-webui (oobabooga)</t>
  </si>
  <si>
    <t xml:space="preserve">oobabooga (OSS)</t>
  </si>
  <si>
    <t xml:space="preserve">Local LLM Runtime (Web UI)</t>
  </si>
  <si>
    <t xml:space="preserve">Partial (extensions)</t>
  </si>
  <si>
    <t xml:space="preserve">Yes - 7860 / 5000</t>
  </si>
  <si>
    <t xml:space="preserve">Gradio web UI for local models with an extension system.</t>
  </si>
  <si>
    <t xml:space="preserve">Extensions execute arbitrary Python. Gradio --share creates a PUBLIC TUNNEL to the host - a covert ingress channel.</t>
  </si>
  <si>
    <t xml:space="preserve">AIRT-0023</t>
  </si>
  <si>
    <t xml:space="preserve">KoboldCpp</t>
  </si>
  <si>
    <t xml:space="preserve">LostRuins (OSS)</t>
  </si>
  <si>
    <t xml:space="preserve">Yes - 5001</t>
  </si>
  <si>
    <t xml:space="preserve">Single-binary llama.cpp derivative with a built-in web UI.</t>
  </si>
  <si>
    <t xml:space="preserve">Single portable .exe - trivially dropped and run without install. Named in Splunk STRT local-LLM analytics.</t>
  </si>
  <si>
    <t xml:space="preserve">AIRT-0024</t>
  </si>
  <si>
    <t xml:space="preserve">LocalAI</t>
  </si>
  <si>
    <t xml:space="preserve">mudler (OSS)</t>
  </si>
  <si>
    <t xml:space="preserve">Local LLM Runtime (API)</t>
  </si>
  <si>
    <t xml:space="preserve">Linux/Docker</t>
  </si>
  <si>
    <t xml:space="preserve">Yes - 8080</t>
  </si>
  <si>
    <t xml:space="preserve">Drop-in OpenAI API replacement, typically containerized.</t>
  </si>
  <si>
    <t xml:space="preserve">Container footprint; API-compatible drop-in means an attacker can redirect an app's OPENAI_BASE_URL to a rogue local instance.</t>
  </si>
  <si>
    <t xml:space="preserve">AIRT-0025</t>
  </si>
  <si>
    <t xml:space="preserve">n8n (AI Agent / LangChain nodes)</t>
  </si>
  <si>
    <t xml:space="preserve">n8n GmbH</t>
  </si>
  <si>
    <t xml:space="preserve">Agentic Workflow Engine</t>
  </si>
  <si>
    <t xml:space="preserve">Linux/Docker/Win</t>
  </si>
  <si>
    <t xml:space="preserve">Cloud or local inference + workflow exec</t>
  </si>
  <si>
    <t xml:space="preserve">Yes (Code node)</t>
  </si>
  <si>
    <t xml:space="preserve">Yes - 5678</t>
  </si>
  <si>
    <t xml:space="preserve">Encrypted (DB)</t>
  </si>
  <si>
    <t xml:space="preserve">Self-hostable workflow automation with native AI Agent / SQL Agent LangChain nodes and MCP support.</t>
  </si>
  <si>
    <t xml:space="preserve">Code node = arbitrary JS/Python execution. Exposed 5678 without auth = full workflow + credential compromise. Webhook nodes are ingress.</t>
  </si>
  <si>
    <t xml:space="preserve">AIRT-0026</t>
  </si>
  <si>
    <t xml:space="preserve">LangChain / LangGraph</t>
  </si>
  <si>
    <t xml:space="preserve">LangChain Inc. (OSS)</t>
  </si>
  <si>
    <t xml:space="preserve">Agent Framework (library)</t>
  </si>
  <si>
    <t xml:space="preserve">Yes (tools)</t>
  </si>
  <si>
    <t xml:space="preserve">App-defined</t>
  </si>
  <si>
    <t xml:space="preserve">Dominant agent-building library. Deployed as bespoke services - no fixed install path.</t>
  </si>
  <si>
    <t xml:space="preserve">Shell/Python REPL tools are standard. No canonical path = inventory by process command line and imported module names.</t>
  </si>
  <si>
    <t xml:space="preserve">AIRT-0027</t>
  </si>
  <si>
    <t xml:space="preserve">AutoGen</t>
  </si>
  <si>
    <t xml:space="preserve">Microsoft (OSS)</t>
  </si>
  <si>
    <t xml:space="preserve">Multi-Agent Framework</t>
  </si>
  <si>
    <t xml:space="preserve">Yes (OAI_CONFIG_LIST)</t>
  </si>
  <si>
    <t xml:space="preserve">Multi-agent conversation framework with LocalCommandLineCodeExecutor and DockerCommandLineCodeExecutor.</t>
  </si>
  <si>
    <t xml:space="preserve">LocalCommandLineCodeExecutor runs generated code directly on the host. OAI_CONFIG_LIST is a plaintext JSON key file.</t>
  </si>
  <si>
    <t xml:space="preserve">AIRT-0028</t>
  </si>
  <si>
    <t xml:space="preserve">CrewAI</t>
  </si>
  <si>
    <t xml:space="preserve">CrewAI Inc. (OSS)</t>
  </si>
  <si>
    <t xml:space="preserve">Role-based multi-agent orchestration. crewai CLI scaffolds config/agents.yaml + config/tasks.yaml + crew.py.</t>
  </si>
  <si>
    <t xml:space="preserve">crewai-tools includes code-execution and file-read tools. YAML defines autonomous agent goals - a tamper target.</t>
  </si>
  <si>
    <t xml:space="preserve">AIRT-0029</t>
  </si>
  <si>
    <t xml:space="preserve">Dify</t>
  </si>
  <si>
    <t xml:space="preserve">LangGenius (OSS)</t>
  </si>
  <si>
    <t xml:space="preserve">LLM App Platform</t>
  </si>
  <si>
    <t xml:space="preserve">Yes (code node)</t>
  </si>
  <si>
    <t xml:space="preserve">Yes - 80/443/5001</t>
  </si>
  <si>
    <t xml:space="preserve">Stored in app DB</t>
  </si>
  <si>
    <t xml:space="preserve">Self-hosted LLM application builder with agent and workflow modes.</t>
  </si>
  <si>
    <t xml:space="preserve">Multi-container stack; stored provider API keys; code node execution in sandbox.</t>
  </si>
  <si>
    <t xml:space="preserve">AIRT-0030</t>
  </si>
  <si>
    <t xml:space="preserve">Flowise</t>
  </si>
  <si>
    <t xml:space="preserve">FlowiseAI (OSS)</t>
  </si>
  <si>
    <t xml:space="preserve">LLM App Platform (low-code)</t>
  </si>
  <si>
    <t xml:space="preserve">Yes (custom function)</t>
  </si>
  <si>
    <t xml:space="preserve">Yes - 3000</t>
  </si>
  <si>
    <t xml:space="preserve">Drag-and-drop LangChain flow builder. Default port 3000, flows persisted to local DB.</t>
  </si>
  <si>
    <t xml:space="preserve">Custom Function node executes arbitrary JS. Historically shipped with weak/no default auth - frequently found exposed.</t>
  </si>
  <si>
    <t xml:space="preserve">AIRT-0031</t>
  </si>
  <si>
    <t xml:space="preserve">Playwright MCP</t>
  </si>
  <si>
    <t xml:space="preserve">Browser Automation MCP Server</t>
  </si>
  <si>
    <t xml:space="preserve">Local browser driving via MCP</t>
  </si>
  <si>
    <t xml:space="preserve">Yes (browser)</t>
  </si>
  <si>
    <t xml:space="preserve">Optional (SSE mode)</t>
  </si>
  <si>
    <t xml:space="preserve">Via --storage-state</t>
  </si>
  <si>
    <t xml:space="preserve">Yes (server)</t>
  </si>
  <si>
    <t xml:space="preserve">npx @playwright/mcp - gives any MCP client full browser control. Downloads browser binaries on first run.</t>
  </si>
  <si>
    <t xml:space="preserve">--caps=storage exposes cookie/localStorage tools. --storage-state replays AUTHENTICATED SESSIONS. Session-token theft and MFA-bypass surface.</t>
  </si>
  <si>
    <t xml:space="preserve">AIRT-0032</t>
  </si>
  <si>
    <t xml:space="preserve">Browser-Use</t>
  </si>
  <si>
    <t xml:space="preserve">Browser Use (OSS)</t>
  </si>
  <si>
    <t xml:space="preserve">Browser Agent Library</t>
  </si>
  <si>
    <t xml:space="preserve">Cloud inference + local browser</t>
  </si>
  <si>
    <t xml:space="preserve">Python library giving LLM agents DOM-level browser control via Playwright.</t>
  </si>
  <si>
    <t xml:space="preserve">Drives real, logged-in browser profiles. Spawns Playwright/Chromium children under a Python parent - a distinctive process tree.</t>
  </si>
  <si>
    <t xml:space="preserve">AIRT-0033</t>
  </si>
  <si>
    <t xml:space="preserve">Claude Computer Use</t>
  </si>
  <si>
    <t xml:space="preserve">Computer-Use Agent</t>
  </si>
  <si>
    <t xml:space="preserve">Container/VM</t>
  </si>
  <si>
    <t xml:space="preserve">Cloud inference + local GUI control</t>
  </si>
  <si>
    <t xml:space="preserve">Yes (GUI)</t>
  </si>
  <si>
    <t xml:space="preserve">Yes (container)</t>
  </si>
  <si>
    <t xml:space="preserve">Yes (env)</t>
  </si>
  <si>
    <t xml:space="preserve">Vision-driven screenshot-to-coordinate GUI control loop. Reference implementation ships as a Docker container.</t>
  </si>
  <si>
    <t xml:space="preserve">Full mouse/keyboard control of a desktop. Screenshot loop = continuous screen capture (data at rest in container).</t>
  </si>
  <si>
    <t xml:space="preserve">AIRT-0034</t>
  </si>
  <si>
    <t xml:space="preserve">OpenAI Operator / CUA</t>
  </si>
  <si>
    <t xml:space="preserve">OpenAI</t>
  </si>
  <si>
    <t xml:space="preserve">Computer-Use Agent (Cloud)</t>
  </si>
  <si>
    <t xml:space="preserve">Browser / Cloud</t>
  </si>
  <si>
    <t xml:space="preserve">Cloud-hosted computer-using agent operating a remote browser.</t>
  </si>
  <si>
    <t xml:space="preserve">Minimal endpoint footprint; credentials handed to a remote agent session. Network/DLP telemetry only.</t>
  </si>
  <si>
    <t xml:space="preserve">AIRT-0035</t>
  </si>
  <si>
    <t xml:space="preserve">Skyvern</t>
  </si>
  <si>
    <t xml:space="preserve">Skyvern AI (OSS)</t>
  </si>
  <si>
    <t xml:space="preserve">Browser Agent (self-hosted)</t>
  </si>
  <si>
    <t xml:space="preserve">Cloud or local inference + local browser</t>
  </si>
  <si>
    <t xml:space="preserve">Yes - 8000/8080</t>
  </si>
  <si>
    <t xml:space="preserve">Open-source vision+DOM browser automation agent, commonly Docker-deployed with a web UI.</t>
  </si>
  <si>
    <t xml:space="preserve">Handles credentialed logins and 2FA workflows by design. Self-hosted UI is an exposure risk.</t>
  </si>
  <si>
    <t xml:space="preserve">AIRT-0036</t>
  </si>
  <si>
    <t xml:space="preserve">OpenAI Codex CLI</t>
  </si>
  <si>
    <t xml:space="preserve">Terminal coding agent installed via npm @openai/codex (also Homebrew cask / winget). Binary `codex`. Reads AGENTS.md.</t>
  </si>
  <si>
    <t xml:space="preserve">~/.codex/auth.json holds a ChatGPT OAuth token in plaintext. Session rollout files capture full prompt+response history including source code.</t>
  </si>
  <si>
    <t xml:space="preserve">AIRT-0037</t>
  </si>
  <si>
    <t xml:space="preserve">Google Gemini CLI</t>
  </si>
  <si>
    <t xml:space="preserve">Google</t>
  </si>
  <si>
    <t xml:space="preserve">Terminal agent installed via npm @google/gemini-cli. Binary `gemini`. Supports system-wide policy config.</t>
  </si>
  <si>
    <t xml:space="preserve">~/.gemini/oauth_creds.json stores access + refresh + id tokens with expiry and scope in plaintext. System-level /etc/gemini-cli/settings.json is a privileged tamper target.</t>
  </si>
  <si>
    <t xml:space="preserve">AIRT-0038</t>
  </si>
  <si>
    <t xml:space="preserve">Goose</t>
  </si>
  <si>
    <t xml:space="preserve">Block</t>
  </si>
  <si>
    <t xml:space="preserve">AI Desktop/CLI Agent</t>
  </si>
  <si>
    <t xml:space="preserve">Conditional</t>
  </si>
  <si>
    <t xml:space="preserve">Rust-based agent shipping both CLI and Desktop. Extension/MCP host. GOOSE_PATH_ROOT overrides config root.</t>
  </si>
  <si>
    <t xml:space="preserve">Secrets default to the OS keyring (service `goose`, username `secrets`, one JSON blob) — but GOOSE_DISABLE_KEYRING falls back to plaintext ~/.config/goose/secrets.yaml (0600), common in headless/CI/containers.</t>
  </si>
  <si>
    <t xml:space="preserve">AIRT-0039</t>
  </si>
  <si>
    <t xml:space="preserve">Cline</t>
  </si>
  <si>
    <t xml:space="preserve">Cline Bot Inc. (OSS)</t>
  </si>
  <si>
    <t xml:space="preserve">Optional (standalone)</t>
  </si>
  <si>
    <t xml:space="preserve">No (SecretStorage)</t>
  </si>
  <si>
    <t xml:space="preserve">VS Code extension ID saoudrizwan.claude-dev (formerly Claude Dev). Agentic file edit + terminal execution.</t>
  </si>
  <si>
    <t xml:space="preserve">MCP settings JSON is plaintext and syncs via VS Code Settings Sync if enabled — env-embedded keys in mcpServers blocks can leave the endpoint.</t>
  </si>
  <si>
    <t xml:space="preserve">AIRT-0040</t>
  </si>
  <si>
    <t xml:space="preserve">Roo Code</t>
  </si>
  <si>
    <t xml:space="preserve">Roo Veterinary Inc. (OSS)</t>
  </si>
  <si>
    <t xml:space="preserve">VS Code extension ID rooveterinaryinc.roo-cline (Cline fork). Multi-mode agent with project-scoped MCP.</t>
  </si>
  <si>
    <t xml:space="preserve">Project-scoped .roo/mcp.json travels with the repo — an untrusted clone ships an execution primitive.</t>
  </si>
  <si>
    <t xml:space="preserve">AIRT-0043</t>
  </si>
  <si>
    <t xml:space="preserve">OpenHands</t>
  </si>
  <si>
    <t xml:space="preserve">All Hands AI (OSS)</t>
  </si>
  <si>
    <t xml:space="preserve">Agent Framework</t>
  </si>
  <si>
    <t xml:space="preserve">Cloud or local inference + sandboxed exec</t>
  </si>
  <si>
    <t xml:space="preserve">Autonomous software-engineering agent (formerly OpenDevin) with a web UI, running agent code in Docker sandbox containers. Deployed via Docker, Docker Compose, or from source.</t>
  </si>
  <si>
    <t xml:space="preserve">The documented run command mounts /var/run/docker.sock into the container - that is host-root-equivalent, so an agent or an attacker reaching the container controls the Docker daemon and therefore the host. Port 3000 has no authentication in the default local deployment.</t>
  </si>
  <si>
    <t xml:space="preserve">AIRT-0044</t>
  </si>
  <si>
    <t xml:space="preserve">Langflow</t>
  </si>
  <si>
    <t xml:space="preserve">Langflow / DataStax (OSS)</t>
  </si>
  <si>
    <t xml:space="preserve">Workflow Engine</t>
  </si>
  <si>
    <t xml:space="preserve">Yes - 7860</t>
  </si>
  <si>
    <t xml:space="preserve">Low-code visual builder for LLM agents and workflows, Python-based. Installable as a pip package, a desktop app, or a hosted service.</t>
  </si>
  <si>
    <t xml:space="preserve">CVE-2025-3248 (CVSS 9.8, unauthenticated RCE via /api/v1/validate/code) is on the CISA KEV catalog and was mass-exploited to deploy the Flodrix botnet; attackers enumerated exposed instances with Shodan/FOFA first. CVE-2026-5027 (CVSS 8.8) adds path traversal to arbitrary file write via POST /api/v2/files.</t>
  </si>
  <si>
    <t xml:space="preserve">AIRT-0041</t>
  </si>
  <si>
    <t xml:space="preserve">Kiro</t>
  </si>
  <si>
    <t xml:space="preserve">Agentic IDE from AWS with spec-driven workflow, auto-triggering hooks, steering files, and an MCP client.</t>
  </si>
  <si>
    <t xml:space="preserve">Hooks fire the agent on file events with NO user action; hooks and MCP config are project-scoped under .kiro/ so they travel with a clone; MCP entries carry autoApprove; config hot-reloads via file watcher.</t>
  </si>
  <si>
    <t xml:space="preserve">AIRT-0042</t>
  </si>
  <si>
    <t xml:space="preserve">Open WebUI</t>
  </si>
  <si>
    <t xml:space="preserve">Open WebUI (OSS)</t>
  </si>
  <si>
    <t xml:space="preserve">Self-hosted multi-user server</t>
  </si>
  <si>
    <t xml:space="preserve">Yes - 8080/3000</t>
  </si>
  <si>
    <t xml:space="preserve">Self-hosted multi-user web interface for LLMs (formerly Ollama WebUI) with RAG and a Python Tools/Functions system.</t>
  </si>
  <si>
    <t xml:space="preserve">First registered account is automatically admin - an instance reachable before its owner registers can be claimed by any visitor. Multiple RCE/SSRF/disclosure CVEs.</t>
  </si>
  <si>
    <t xml:space="preserve">OS</t>
  </si>
  <si>
    <t xml:space="preserve">Artifact Type</t>
  </si>
  <si>
    <t xml:space="preserve">Path / Binary</t>
  </si>
  <si>
    <t xml:space="preserve">Install Method</t>
  </si>
  <si>
    <t xml:space="preserve">Windows</t>
  </si>
  <si>
    <t xml:space="preserve">Binary</t>
  </si>
  <si>
    <t xml:space="preserve">%APPDATA%\npm\claude.cmd</t>
  </si>
  <si>
    <t xml:space="preserve">npm -g @anthropic-ai/claude-code</t>
  </si>
  <si>
    <t xml:space="preserve">npm global bin shim</t>
  </si>
  <si>
    <t xml:space="preserve">%APPDATA%\npm\node_modules\@anthropic-ai\claude-code\</t>
  </si>
  <si>
    <t xml:space="preserve">npm -g</t>
  </si>
  <si>
    <t xml:space="preserve">Package root</t>
  </si>
  <si>
    <t xml:space="preserve">macOS/Linux</t>
  </si>
  <si>
    <t xml:space="preserve">~/.local/bin/claude</t>
  </si>
  <si>
    <t xml:space="preserve">curl -fsSL https://claude.ai/install.sh | bash</t>
  </si>
  <si>
    <t xml:space="preserve">Native installer path</t>
  </si>
  <si>
    <t xml:space="preserve">/usr/local/bin/claude</t>
  </si>
  <si>
    <t xml:space="preserve">npm global</t>
  </si>
  <si>
    <t xml:space="preserve">All</t>
  </si>
  <si>
    <t xml:space="preserve">Config Dir</t>
  </si>
  <si>
    <t xml:space="preserve">~/.claude/</t>
  </si>
  <si>
    <t xml:space="preserve">settings.json, settings.local.json, CLAUDE.md, .credentials.json, statsig/</t>
  </si>
  <si>
    <t xml:space="preserve">Config File</t>
  </si>
  <si>
    <t xml:space="preserve">~/.claude.json</t>
  </si>
  <si>
    <t xml:space="preserve">Runtime auth state + user-scoped MCP servers</t>
  </si>
  <si>
    <t xml:space="preserve">Project Artifact</t>
  </si>
  <si>
    <t xml:space="preserve">&lt;repo&gt;/.claude/settings.json</t>
  </si>
  <si>
    <t xml:space="preserve">n/a</t>
  </si>
  <si>
    <t xml:space="preserve">Project-scoped settings, committed to git</t>
  </si>
  <si>
    <t xml:space="preserve">&lt;repo&gt;/.mcp.json</t>
  </si>
  <si>
    <t xml:space="preserve">Project-scoped MCP servers - EXECUTION PRIMITIVE, review on clone</t>
  </si>
  <si>
    <t xml:space="preserve">&lt;repo&gt;/CLAUDE.md</t>
  </si>
  <si>
    <t xml:space="preserve">Instruction file - prompt-injection surface</t>
  </si>
  <si>
    <t xml:space="preserve">Install Dir</t>
  </si>
  <si>
    <t xml:space="preserve">%LOCALAPPDATA%\Programs\cursor\</t>
  </si>
  <si>
    <t xml:space="preserve">MSI/EXE</t>
  </si>
  <si>
    <t xml:space="preserve">Electron app root</t>
  </si>
  <si>
    <t xml:space="preserve">%LOCALAPPDATA%\Programs\cursor\Cursor.exe</t>
  </si>
  <si>
    <t xml:space="preserve">Main process</t>
  </si>
  <si>
    <t xml:space="preserve">%LOCALAPPDATA%\Programs\cursor\resources\app\bin\cursor</t>
  </si>
  <si>
    <t xml:space="preserve">CLI shim</t>
  </si>
  <si>
    <t xml:space="preserve">Updater</t>
  </si>
  <si>
    <t xml:space="preserve">%LOCALAPPDATA%\cursor-updater\</t>
  </si>
  <si>
    <t xml:space="preserve">Auto-update staging - watch for unsigned writes</t>
  </si>
  <si>
    <t xml:space="preserve">%APPDATA%\Cursor\User\</t>
  </si>
  <si>
    <t xml:space="preserve">settings.json, globalStorage, workspaceStorage</t>
  </si>
  <si>
    <t xml:space="preserve">macOS</t>
  </si>
  <si>
    <t xml:space="preserve">~/Library/Application Support/Cursor/User/</t>
  </si>
  <si>
    <t xml:space="preserve">DMG</t>
  </si>
  <si>
    <t xml:space="preserve">Linux</t>
  </si>
  <si>
    <t xml:space="preserve">~/.config/Cursor/User/</t>
  </si>
  <si>
    <t xml:space="preserve">AppImage/deb</t>
  </si>
  <si>
    <t xml:space="preserve">MCP Config</t>
  </si>
  <si>
    <t xml:space="preserve">~/.cursor/mcp.json</t>
  </si>
  <si>
    <t xml:space="preserve">Global MCP servers - EXECUTION PRIMITIVE</t>
  </si>
  <si>
    <t xml:space="preserve">&lt;repo&gt;/.cursor/mcp.json</t>
  </si>
  <si>
    <t xml:space="preserve">Project MCP servers - review on clone</t>
  </si>
  <si>
    <t xml:space="preserve">Rules File</t>
  </si>
  <si>
    <t xml:space="preserve">&lt;repo&gt;/.cursorrules  |  &lt;repo&gt;/.cursor/rules/*.mdc</t>
  </si>
  <si>
    <t xml:space="preserve">Prompt-injection surface</t>
  </si>
  <si>
    <t xml:space="preserve">Skills Dir</t>
  </si>
  <si>
    <t xml:space="preserve">%APPDATA%\Cursor\User\skills\</t>
  </si>
  <si>
    <t xml:space="preserve">Custom agent skills</t>
  </si>
  <si>
    <t xml:space="preserve">GitHub Copilot</t>
  </si>
  <si>
    <t xml:space="preserve">copilot-language-server (per-platform native binary)</t>
  </si>
  <si>
    <t xml:space="preserve">IDE extension / release artifact</t>
  </si>
  <si>
    <t xml:space="preserve">github/copilot-language-server-release</t>
  </si>
  <si>
    <t xml:space="preserve">node &lt;pkg&gt;/@github/copilot-language-server/dist/language-server.js --stdio</t>
  </si>
  <si>
    <t xml:space="preserve">npm</t>
  </si>
  <si>
    <t xml:space="preserve">Node variant; also --node-ipc</t>
  </si>
  <si>
    <t xml:space="preserve">~/.copilot/</t>
  </si>
  <si>
    <t xml:space="preserve">Copilot CLI</t>
  </si>
  <si>
    <t xml:space="preserve">mcp-config.json, lsp-config.json, agents/</t>
  </si>
  <si>
    <t xml:space="preserve">~/.copilot/mcp-config.json</t>
  </si>
  <si>
    <t xml:space="preserve">EXECUTION PRIMITIVE</t>
  </si>
  <si>
    <t xml:space="preserve">Agent Def</t>
  </si>
  <si>
    <t xml:space="preserve">~/.copilot/agents/*.agent.md  |  &lt;repo&gt;/.github/agents/*.agent.md</t>
  </si>
  <si>
    <t xml:space="preserve">Custom autonomous agent definitions - review on clone</t>
  </si>
  <si>
    <t xml:space="preserve">Extension Dir</t>
  </si>
  <si>
    <t xml:space="preserve">%USERPROFILE%\.vscode\extensions\github.copilot-*</t>
  </si>
  <si>
    <t xml:space="preserve">VS Code</t>
  </si>
  <si>
    <t xml:space="preserve">aider  (pipx: ~/.local/bin/aider)</t>
  </si>
  <si>
    <t xml:space="preserve">pip / pipx / uv</t>
  </si>
  <si>
    <t xml:space="preserve">~/.aider.conf.yml</t>
  </si>
  <si>
    <t xml:space="preserve">Also searched in CWD and git root</t>
  </si>
  <si>
    <t xml:space="preserve">Credential File</t>
  </si>
  <si>
    <t xml:space="preserve">~/.aider/oauth-keys.env</t>
  </si>
  <si>
    <t xml:space="preserve">OpenRouter OAuth (PKCE) tokens - PLAINTEXT</t>
  </si>
  <si>
    <t xml:space="preserve">&lt;home|gitroot|cwd&gt;/.env</t>
  </si>
  <si>
    <t xml:space="preserve">OPENAI_API_KEY / ANTHROPIC_API_KEY - PLAINTEXT</t>
  </si>
  <si>
    <t xml:space="preserve">Cache Dir</t>
  </si>
  <si>
    <t xml:space="preserve">~/.aider/caches/</t>
  </si>
  <si>
    <t xml:space="preserve">Repo Artifact</t>
  </si>
  <si>
    <t xml:space="preserve">&lt;repo&gt;/.aider.tags.cache.v4/</t>
  </si>
  <si>
    <t xml:space="preserve">SQLite diskcache of repo symbol map</t>
  </si>
  <si>
    <t xml:space="preserve">&lt;repo&gt;/.aider.chat.history.md</t>
  </si>
  <si>
    <t xml:space="preserve">FULL CHAT TRANSCRIPT incl. source code - HIGH-VALUE FORENSIC ARTIFACT</t>
  </si>
  <si>
    <t xml:space="preserve">&lt;repo&gt;/.aider.input.history</t>
  </si>
  <si>
    <t xml:space="preserve">User prompt history - forensic timeline source</t>
  </si>
  <si>
    <t xml:space="preserve">~/.continue/config.yaml</t>
  </si>
  <si>
    <t xml:space="preserve">IDE extension</t>
  </si>
  <si>
    <t xml:space="preserve">Current format</t>
  </si>
  <si>
    <t xml:space="preserve">~/.continue/config.json</t>
  </si>
  <si>
    <t xml:space="preserve">Legacy format</t>
  </si>
  <si>
    <t xml:space="preserve">~/.continue/config.ts</t>
  </si>
  <si>
    <t xml:space="preserve">Advanced - EXECUTES TYPESCRIPT</t>
  </si>
  <si>
    <t xml:space="preserve">&lt;repo&gt;/.continue/rules/*.md</t>
  </si>
  <si>
    <t xml:space="preserve">Project Config</t>
  </si>
  <si>
    <t xml:space="preserve">&lt;repo&gt;/.continuerc.json</t>
  </si>
  <si>
    <t xml:space="preserve">~/.codeium/</t>
  </si>
  <si>
    <t xml:space="preserve">IDE plugin</t>
  </si>
  <si>
    <t xml:space="preserve">API key + downloaded language server</t>
  </si>
  <si>
    <t xml:space="preserve">%USERPROFILE%\.codeium\windsurf\mcp_config.json</t>
  </si>
  <si>
    <t xml:space="preserve">Windsurf</t>
  </si>
  <si>
    <t xml:space="preserve">~/.codeium/windsurf/mcp_config.json</t>
  </si>
  <si>
    <t xml:space="preserve">Downloaded Binary</t>
  </si>
  <si>
    <t xml:space="preserve">~/.codeium/&lt;version&gt;/language_server_*</t>
  </si>
  <si>
    <t xml:space="preserve">REMOTE BINARY DOWNLOAD - verify hash</t>
  </si>
  <si>
    <t xml:space="preserve">&lt;repo&gt;/.windsurf/settings.json</t>
  </si>
  <si>
    <t xml:space="preserve">Indexer scope config</t>
  </si>
  <si>
    <t xml:space="preserve">&lt;repo&gt;/.windsurfrules</t>
  </si>
  <si>
    <t xml:space="preserve">Browser Artifact</t>
  </si>
  <si>
    <t xml:space="preserve">Browser session / cookies for app.devin.ai</t>
  </si>
  <si>
    <t xml:space="preserve">THIN SOURCING - primary indicator is outbound DNS</t>
  </si>
  <si>
    <t xml:space="preserve">Amazon Q Developer</t>
  </si>
  <si>
    <t xml:space="preserve">node .../language-server/build/aws-lsp-codewhisperer-token-binary.js --stdio</t>
  </si>
  <si>
    <t xml:space="preserve">npm pkg @aws/lsp-codewhisperer</t>
  </si>
  <si>
    <t xml:space="preserve">Token Cache</t>
  </si>
  <si>
    <t xml:space="preserve">~/.aws/sso/cache/*.json</t>
  </si>
  <si>
    <t xml:space="preserve">AWS SSO</t>
  </si>
  <si>
    <t xml:space="preserve">SSO access tokens - credential-theft target</t>
  </si>
  <si>
    <t xml:space="preserve">%USERPROFILE%\.vscode\extensions\amazonwebservices.amazon-q-vscode-*</t>
  </si>
  <si>
    <t xml:space="preserve">&lt;repo&gt;/.amazonq/rules/*.md</t>
  </si>
  <si>
    <t xml:space="preserve">Agent Settings</t>
  </si>
  <si>
    <t xml:space="preserve">~/.tabnine/agent/settings.json</t>
  </si>
  <si>
    <t xml:space="preserve">User scope</t>
  </si>
  <si>
    <t xml:space="preserve">&lt;repo&gt;/.tabnine/agent/settings.json</t>
  </si>
  <si>
    <t xml:space="preserve">Project scope - overrides user</t>
  </si>
  <si>
    <t xml:space="preserve">Downloaded per-platform Tabnine binary (binary_path configurable)</t>
  </si>
  <si>
    <t xml:space="preserve">BINARY SUBSTITUTION RISK</t>
  </si>
  <si>
    <t xml:space="preserve">Env Override</t>
  </si>
  <si>
    <t xml:space="preserve">TABNINE_CLI_SYSTEM_SETTINGS_PATH / TABNINE_CLI_SYSTEM_DEFAULTS_PATH</t>
  </si>
  <si>
    <t xml:space="preserve">Env var config hijack vector</t>
  </si>
  <si>
    <t xml:space="preserve">Downloaded Supermaven agent binary (editor-managed)</t>
  </si>
  <si>
    <t xml:space="preserve">Editor extension</t>
  </si>
  <si>
    <t xml:space="preserve">THIN SOURCING - validate locally</t>
  </si>
  <si>
    <t xml:space="preserve">Zed Config</t>
  </si>
  <si>
    <t xml:space="preserve">~/.config/zed/settings.json  -&gt;  inline_completion_provider: supermaven</t>
  </si>
  <si>
    <t xml:space="preserve">Zed</t>
  </si>
  <si>
    <t xml:space="preserve">Claude Desktop</t>
  </si>
  <si>
    <t xml:space="preserve">~/Library/Application Support/Claude/claude_desktop_config.json</t>
  </si>
  <si>
    <t xml:space="preserve">PRIMARY EXECUTION PRIMITIVE</t>
  </si>
  <si>
    <t xml:space="preserve">%APPDATA%\Claude\claude_desktop_config.json</t>
  </si>
  <si>
    <t xml:space="preserve">EXE installer</t>
  </si>
  <si>
    <t xml:space="preserve">Windows (MSIX/Store)</t>
  </si>
  <si>
    <t xml:space="preserve">%LOCALAPPDATA%\Packages\Claude_pzs8sxrjxfjjc\LocalCache\Roaming\Claude\claude_desktop_config.json</t>
  </si>
  <si>
    <t xml:space="preserve">MS Store</t>
  </si>
  <si>
    <t xml:space="preserve">VIRTUALIZED PATH - the app reads THIS one. Commonly missed by IR.</t>
  </si>
  <si>
    <t xml:space="preserve">~/.config/Claude/claude_desktop_config.json</t>
  </si>
  <si>
    <t xml:space="preserve">deb/AppImage</t>
  </si>
  <si>
    <t xml:space="preserve">Extension Bundle</t>
  </si>
  <si>
    <t xml:space="preserve">*.mcpb (Desktop Extension)</t>
  </si>
  <si>
    <t xml:space="preserve">ZIP archive containing server code + manifest - UNPACK AND REVIEW</t>
  </si>
  <si>
    <t xml:space="preserve">Logs</t>
  </si>
  <si>
    <t xml:space="preserve">%APPDATA%\Claude\logs\mcp*.log</t>
  </si>
  <si>
    <t xml:space="preserve">MCP server stdout/stderr - forensic goldmine</t>
  </si>
  <si>
    <t xml:space="preserve">~/Library/Logs/Claude/mcp*.log</t>
  </si>
  <si>
    <t xml:space="preserve">MCP server stdout/stderr</t>
  </si>
  <si>
    <t xml:space="preserve">&lt;install&gt;/.env</t>
  </si>
  <si>
    <t xml:space="preserve">git clone / Docker</t>
  </si>
  <si>
    <t xml:space="preserve">OPENAI_API_KEY plaintext</t>
  </si>
  <si>
    <t xml:space="preserve">Workspace</t>
  </si>
  <si>
    <t xml:space="preserve">&lt;install&gt;/workspace/  |  auto_gpt_workspace/</t>
  </si>
  <si>
    <t xml:space="preserve">AGENT-GENERATED FILES - triage as unknown-origin content</t>
  </si>
  <si>
    <t xml:space="preserve">interpreter  (venv: .../open-interpreter/bin/interpreter)</t>
  </si>
  <si>
    <t xml:space="preserve">pip</t>
  </si>
  <si>
    <t xml:space="preserve">Python 3.10/3.11</t>
  </si>
  <si>
    <t xml:space="preserve">...\open-interpreter\Scripts\interpreter.EXE</t>
  </si>
  <si>
    <t xml:space="preserve">~/.config/Open Interpreter/  |  %APPDATA%\Open Interpreter\</t>
  </si>
  <si>
    <t xml:space="preserve">profiles/, config yaml</t>
  </si>
  <si>
    <t xml:space="preserve">Local Model</t>
  </si>
  <si>
    <t xml:space="preserve">llamafile artifacts (--local mode)</t>
  </si>
  <si>
    <t xml:space="preserve">No API key needed - fully offline agent</t>
  </si>
  <si>
    <t xml:space="preserve">%LOCALAPPDATA%\Programs\Ollama\ollama.exe</t>
  </si>
  <si>
    <t xml:space="preserve">/usr/local/bin/ollama  |  /Applications/Ollama.app</t>
  </si>
  <si>
    <t xml:space="preserve">DMG/brew</t>
  </si>
  <si>
    <t xml:space="preserve">/usr/local/bin/ollama  |  /usr/bin/ollama</t>
  </si>
  <si>
    <t xml:space="preserve">install.sh</t>
  </si>
  <si>
    <t xml:space="preserve">systemd unit ollama.service</t>
  </si>
  <si>
    <t xml:space="preserve">Models Dir</t>
  </si>
  <si>
    <t xml:space="preserve">%USERPROFILE%\.ollama\models\</t>
  </si>
  <si>
    <t xml:space="preserve">blobs/ + manifests/ - multi-GB</t>
  </si>
  <si>
    <t xml:space="preserve">~/.ollama/models/</t>
  </si>
  <si>
    <t xml:space="preserve">Service account home on Linux (/usr/share/ollama/.ollama)</t>
  </si>
  <si>
    <t xml:space="preserve">Key Material</t>
  </si>
  <si>
    <t xml:space="preserve">~/.ollama/id_ed25519  |  id_ed25519.pub</t>
  </si>
  <si>
    <t xml:space="preserve">Instance identity keypair</t>
  </si>
  <si>
    <t xml:space="preserve">Model Def</t>
  </si>
  <si>
    <t xml:space="preserve">Modelfile</t>
  </si>
  <si>
    <t xml:space="preserve">Can embed SYSTEM prompts - jailbreak/backdoor vector</t>
  </si>
  <si>
    <t xml:space="preserve">Service Config</t>
  </si>
  <si>
    <t xml:space="preserve">/etc/systemd/system/ollama.service  |  .../ollama.service.d/*.conf</t>
  </si>
  <si>
    <t xml:space="preserve">PERSISTENCE + where OLLAMA_HOST=0.0.0.0 is usually set</t>
  </si>
  <si>
    <t xml:space="preserve">%LOCALAPPDATA%\Programs\lm-studio\LM Studio.exe</t>
  </si>
  <si>
    <t xml:space="preserve">CLI</t>
  </si>
  <si>
    <t xml:space="preserve">~/.lmstudio/bin/lms</t>
  </si>
  <si>
    <t xml:space="preserve">Created after first GUI run</t>
  </si>
  <si>
    <t xml:space="preserve">Headless control CLI</t>
  </si>
  <si>
    <t xml:space="preserve">Daemon</t>
  </si>
  <si>
    <t xml:space="preserve">llmster</t>
  </si>
  <si>
    <t xml:space="preserve">Background service process</t>
  </si>
  <si>
    <t xml:space="preserve">~/.lmstudio/models/</t>
  </si>
  <si>
    <t xml:space="preserve">Publisher/model/*.gguf layout</t>
  </si>
  <si>
    <t xml:space="preserve">~/.lmstudio/settings.json</t>
  </si>
  <si>
    <t xml:space="preserve">Server bind address + port live here</t>
  </si>
  <si>
    <t xml:space="preserve">/usr/local/bin/jan  |  ~/.local/bin/jan</t>
  </si>
  <si>
    <t xml:space="preserve">~/.config/Jan/  |  ~/jan/</t>
  </si>
  <si>
    <t xml:space="preserve">data/, models/, logs/</t>
  </si>
  <si>
    <t xml:space="preserve">Daemon Env</t>
  </si>
  <si>
    <t xml:space="preserve">/etc/jan/jan.env</t>
  </si>
  <si>
    <t xml:space="preserve">daemon install</t>
  </si>
  <si>
    <t xml:space="preserve">SYSTEM-LEVEL config - persistence/tamper target</t>
  </si>
  <si>
    <t xml:space="preserve">Data Dir</t>
  </si>
  <si>
    <t xml:space="preserve">~/.local/share/nomic.ai/GPT4All/</t>
  </si>
  <si>
    <t xml:space="preserve">installer</t>
  </si>
  <si>
    <t xml:space="preserve">Models + LocalDocs index; env GPT4ALL_HOME overrides</t>
  </si>
  <si>
    <t xml:space="preserve">%LOCALAPPDATA%\Programs\gpt4all\bin\chat.exe</t>
  </si>
  <si>
    <t xml:space="preserve">llama-server / llama-cli / llama-run / llama-quantize</t>
  </si>
  <si>
    <t xml:space="preserve">build from source / release zip</t>
  </si>
  <si>
    <t xml:space="preserve">Portable, easily renamed</t>
  </si>
  <si>
    <t xml:space="preserve">Model File</t>
  </si>
  <si>
    <t xml:space="preserve">*.gguf</t>
  </si>
  <si>
    <t xml:space="preserve">PRIMARY FILE IOC across all local runtimes</t>
  </si>
  <si>
    <t xml:space="preserve">text-generation-webui</t>
  </si>
  <si>
    <t xml:space="preserve">text-generation-webui.exe  |  python server.py</t>
  </si>
  <si>
    <t xml:space="preserve">one-click installer / git</t>
  </si>
  <si>
    <t xml:space="preserve">&lt;install&gt;/models/</t>
  </si>
  <si>
    <t xml:space="preserve">Extensions</t>
  </si>
  <si>
    <t xml:space="preserve">&lt;install&gt;/extensions/</t>
  </si>
  <si>
    <t xml:space="preserve">ARBITRARY PYTHON EXECUTION</t>
  </si>
  <si>
    <t xml:space="preserve">n8n</t>
  </si>
  <si>
    <t xml:space="preserve">~/.n8n/  (Docker: /home/node/.n8n)</t>
  </si>
  <si>
    <t xml:space="preserve">npm / Docker</t>
  </si>
  <si>
    <t xml:space="preserve">database.sqlite, config, encryptionKey</t>
  </si>
  <si>
    <t xml:space="preserve">Credential Store</t>
  </si>
  <si>
    <t xml:space="preserve">~/.n8n/database.sqlite</t>
  </si>
  <si>
    <t xml:space="preserve">Credentials encrypted with N8N_ENCRYPTION_KEY - key theft = full cred compromise</t>
  </si>
  <si>
    <t xml:space="preserve">Env Var</t>
  </si>
  <si>
    <t xml:space="preserve">N8N_ENCRYPTION_KEY</t>
  </si>
  <si>
    <t xml:space="preserve">HIGH-VALUE SECRET</t>
  </si>
  <si>
    <t xml:space="preserve">OAI_CONFIG_LIST  (JSON, CWD or env-specified path)</t>
  </si>
  <si>
    <t xml:space="preserve">PLAINTEXT api_key values</t>
  </si>
  <si>
    <t xml:space="preserve">Work Dir</t>
  </si>
  <si>
    <t xml:space="preserve">coding/  (default LocalCommandLineCodeExecutor work_dir)</t>
  </si>
  <si>
    <t xml:space="preserve">AGENT-GENERATED CODE executed on host</t>
  </si>
  <si>
    <t xml:space="preserve">&lt;project&gt;/config/agents.yaml  |  config/tasks.yaml</t>
  </si>
  <si>
    <t xml:space="preserve">crewai create crew</t>
  </si>
  <si>
    <t xml:space="preserve">Autonomous goal definitions</t>
  </si>
  <si>
    <t xml:space="preserve">Entrypoint</t>
  </si>
  <si>
    <t xml:space="preserve">&lt;project&gt;/src/&lt;name&gt;/crew.py</t>
  </si>
  <si>
    <t xml:space="preserve">&lt;project&gt;/.env</t>
  </si>
  <si>
    <t xml:space="preserve">Provider keys via LiteLLM</t>
  </si>
  <si>
    <t xml:space="preserve">Invocation</t>
  </si>
  <si>
    <t xml:space="preserve">npx @playwright/mcp@latest</t>
  </si>
  <si>
    <t xml:space="preserve">npx (no install)</t>
  </si>
  <si>
    <t xml:space="preserve">RUNS WITHOUT INSTALL - npx cache only</t>
  </si>
  <si>
    <t xml:space="preserve">Browser Cache</t>
  </si>
  <si>
    <t xml:space="preserve">%USERPROFILE%\AppData\Local\ms-playwright\</t>
  </si>
  <si>
    <t xml:space="preserve">first run</t>
  </si>
  <si>
    <t xml:space="preserve">Downloaded Chromium/Firefox/WebKit binaries</t>
  </si>
  <si>
    <t xml:space="preserve">~/Library/Caches/ms-playwright/</t>
  </si>
  <si>
    <t xml:space="preserve">~/.cache/ms-playwright/</t>
  </si>
  <si>
    <t xml:space="preserve">Session State</t>
  </si>
  <si>
    <t xml:space="preserve">--storage-state &lt;file.json&gt;</t>
  </si>
  <si>
    <t xml:space="preserve">SERIALIZED COOKIES + localStorage = SESSION HIJACK ARTIFACT</t>
  </si>
  <si>
    <t xml:space="preserve">Output Dir</t>
  </si>
  <si>
    <t xml:space="preserve">outputDir (config) - screenshots, traces, PDFs</t>
  </si>
  <si>
    <t xml:space="preserve">May contain captured sensitive screens</t>
  </si>
  <si>
    <t xml:space="preserve">Container</t>
  </si>
  <si>
    <t xml:space="preserve">Docker container running the reference implementation</t>
  </si>
  <si>
    <t xml:space="preserve">docker run</t>
  </si>
  <si>
    <t xml:space="preserve">Screenshot loop artifacts inside container</t>
  </si>
  <si>
    <t xml:space="preserve">Docker compose stack + .env</t>
  </si>
  <si>
    <t xml:space="preserve">docker compose</t>
  </si>
  <si>
    <t xml:space="preserve">Handles credentialed logins by design</t>
  </si>
  <si>
    <t xml:space="preserve">codex  (npm -g @openai/codex; brew cask; winget)</t>
  </si>
  <si>
    <t xml:space="preserve">npm/brew/winget</t>
  </si>
  <si>
    <t xml:space="preserve">~/.codex/config.toml</t>
  </si>
  <si>
    <t xml:space="preserve">Contains [mcp_servers] blocks - EXECUTION PRIMITIVE</t>
  </si>
  <si>
    <t xml:space="preserve">~/.codex/auth.json</t>
  </si>
  <si>
    <t xml:space="preserve">PLAINTEXT ChatGPT OAuth token</t>
  </si>
  <si>
    <t xml:space="preserve">History</t>
  </si>
  <si>
    <t xml:space="preserve">~/.codex/history.jsonl</t>
  </si>
  <si>
    <t xml:space="preserve">Prompt history - FORENSIC TIMELINE SOURCE</t>
  </si>
  <si>
    <t xml:space="preserve">Session Artifact</t>
  </si>
  <si>
    <t xml:space="preserve">~/.codex/sessions/YYYY/MM/DD/rollout-*.jsonl</t>
  </si>
  <si>
    <t xml:space="preserve">FULL session transcript incl. source code - HIGH-VALUE EXFIL SCOPING ARTIFACT</t>
  </si>
  <si>
    <t xml:space="preserve">Log</t>
  </si>
  <si>
    <t xml:space="preserve">~/.codex/logs/codex-tui.log</t>
  </si>
  <si>
    <t xml:space="preserve">CODEX_HOME</t>
  </si>
  <si>
    <t xml:space="preserve">Relocates the entire artifact set - check before concluding absence</t>
  </si>
  <si>
    <t xml:space="preserve">Instruction File</t>
  </si>
  <si>
    <t xml:space="preserve">AGENTS.md</t>
  </si>
  <si>
    <t xml:space="preserve">Prompt-injection surface, travels with repo</t>
  </si>
  <si>
    <t xml:space="preserve">gemini  (npm -g @google/gemini-cli)</t>
  </si>
  <si>
    <t xml:space="preserve">~/.gemini/settings.json</t>
  </si>
  <si>
    <t xml:space="preserve">Auth type at security.auth.selectedType; MCP servers</t>
  </si>
  <si>
    <t xml:space="preserve">~/.gemini/oauth_creds.json</t>
  </si>
  <si>
    <t xml:space="preserve">PLAINTEXT access + refresh + id tokens, expiry, scope</t>
  </si>
  <si>
    <t xml:space="preserve">~/.gemini/google_accounts.json</t>
  </si>
  <si>
    <t xml:space="preserve">Bound Google account identity - USER ATTRIBUTION ARTIFACT</t>
  </si>
  <si>
    <t xml:space="preserve">System Config</t>
  </si>
  <si>
    <t xml:space="preserve">/etc/gemini-cli/settings.json</t>
  </si>
  <si>
    <t xml:space="preserve">SYSTEM-LEVEL policy - privileged tamper/persistence target</t>
  </si>
  <si>
    <t xml:space="preserve">Env File</t>
  </si>
  <si>
    <t xml:space="preserve">~/.gemini/.env  (plus cwd-upward .env search)</t>
  </si>
  <si>
    <t xml:space="preserve">GEMINI_API_KEY distinct from Vertex GOOGLE_API_KEY</t>
  </si>
  <si>
    <t xml:space="preserve">~/.config/goose/config.yaml</t>
  </si>
  <si>
    <t xml:space="preserve">GOOSE_PATH_ROOT overrides. API keys here are IGNORED by design</t>
  </si>
  <si>
    <t xml:space="preserve">%APPDATA%\goose\config.yaml</t>
  </si>
  <si>
    <t xml:space="preserve">OS keyring: service `goose`, username `secrets` (single JSON blob)</t>
  </si>
  <si>
    <t xml:space="preserve">DEFAULT - requires keychain acquisition, not file collection</t>
  </si>
  <si>
    <t xml:space="preserve">~/.config/goose/secrets.yaml (mode 0600)</t>
  </si>
  <si>
    <t xml:space="preserve">PLAINTEXT FALLBACK when GOOSE_DISABLE_KEYRING is set - common in CI/containers/headless</t>
  </si>
  <si>
    <t xml:space="preserve">Permissions</t>
  </si>
  <si>
    <t xml:space="preserve">~/.config/goose/permission.yaml ; permissions/tool_permissions.json</t>
  </si>
  <si>
    <t xml:space="preserve">Records which tools were authorized - CONSENT EVIDENCE</t>
  </si>
  <si>
    <t xml:space="preserve">&lt;config&gt;/githubcopilot/info.json</t>
  </si>
  <si>
    <t xml:space="preserve">GitHub Copilot token cache</t>
  </si>
  <si>
    <t xml:space="preserve">Goose session logs</t>
  </si>
  <si>
    <t xml:space="preserve">PURGED AFTER 14 DAYS - collect early, short retention window</t>
  </si>
  <si>
    <t xml:space="preserve">%APPDATA%\Code\User\globalStorage\saoudrizwan.claude-dev\settings\cline_mcp_settings.json</t>
  </si>
  <si>
    <t xml:space="preserve">VS Code ext</t>
  </si>
  <si>
    <t xml:space="preserve">~/Library/Application Support/Code/User/globalStorage/saoudrizwan.claude-dev/settings/cline_mcp_settings.json</t>
  </si>
  <si>
    <t xml:space="preserve">~/.config/Code/User/globalStorage/saoudrizwan.claude-dev/settings/cline_mcp_settings.json</t>
  </si>
  <si>
    <t xml:space="preserve">VS Code SecretStorage -&gt; OS keychain, backed by state.vscdb (SQLite)</t>
  </si>
  <si>
    <t xml:space="preserve">state.vscdb is a collectible SQLite artifact</t>
  </si>
  <si>
    <t xml:space="preserve">Standalone Data</t>
  </si>
  <si>
    <t xml:space="preserve">~/.cline/data/</t>
  </si>
  <si>
    <t xml:space="preserve">standalone/CLI mode</t>
  </si>
  <si>
    <t xml:space="preserve">SINGLE-SOURCE - corroborate</t>
  </si>
  <si>
    <t xml:space="preserve">%APPDATA%\Code\User\globalStorage\rooveterinaryinc.roo-cline\settings\mcp_settings.json</t>
  </si>
  <si>
    <t xml:space="preserve">~/Library/Application Support/Code/User/globalStorage/rooveterinaryinc.roo-cline/settings/mcp_settings.json</t>
  </si>
  <si>
    <t xml:space="preserve">Project MCP Config</t>
  </si>
  <si>
    <t xml:space="preserve">&lt;repo&gt;/.roo/mcp.json</t>
  </si>
  <si>
    <t xml:space="preserve">TRAVELS WITH THE REPO - review on clone/PR</t>
  </si>
  <si>
    <t xml:space="preserve">VS Code SecretStorage -&gt; OS keychain (state.vscdb)</t>
  </si>
  <si>
    <t xml:space="preserve">~/.openhands/config.toml</t>
  </si>
  <si>
    <t xml:space="preserve">Docker/source</t>
  </si>
  <si>
    <t xml:space="preserve">[core] workspace_base, [llm] model/api_key/base_url. PLAINTEXT api_key. base_url is an inference-redirection vector.</t>
  </si>
  <si>
    <t xml:space="preserve">~/.openhands-state/  (mounted to /.openhands-state)</t>
  </si>
  <si>
    <t xml:space="preserve">Docker</t>
  </si>
  <si>
    <t xml:space="preserve">Persistent agent state across container restarts. Older deployments use this path; newer ones mount ~/.openhands.</t>
  </si>
  <si>
    <t xml:space="preserve">~/.openhands/  (mounted to /.openhands)</t>
  </si>
  <si>
    <t xml:space="preserve">Current state directory. Also holds user skills at ~/.openhands/skills/.</t>
  </si>
  <si>
    <t xml:space="preserve">workspace_base (default ./workspace, mounted to /opt/workspace_base)</t>
  </si>
  <si>
    <t xml:space="preserve">AGENT-GENERATED AND AGENT-MODIFIED FILES. Treat as unknown-origin content during triage.</t>
  </si>
  <si>
    <t xml:space="preserve">Agent Definition</t>
  </si>
  <si>
    <t xml:space="preserve">~/.openhands/skills/ ; ~/.agents/skills/</t>
  </si>
  <si>
    <t xml:space="preserve">Custom skill definitions loaded by the agent.</t>
  </si>
  <si>
    <t xml:space="preserve">docker-compose.yml / docker run invocation</t>
  </si>
  <si>
    <t xml:space="preserve">CRITICAL TRIAGE ARTIFACT: check for -v /var/run/docker.sock:/var/run/docker.sock, which is host-root-equivalent.</t>
  </si>
  <si>
    <t xml:space="preserve">ghcr.io/openhands/agent-server ; docker.openhands.dev/openhands/openhands</t>
  </si>
  <si>
    <t xml:space="preserve">Sandbox runtime image pulled per session. Older tags use docker.all-hands.dev/all-hands-ai/.</t>
  </si>
  <si>
    <t xml:space="preserve">~/.langflow/  (LANGFLOW_CONFIG_DIR)</t>
  </si>
  <si>
    <t xml:space="preserve">pip/Docker</t>
  </si>
  <si>
    <t xml:space="preserve">Config and database root.</t>
  </si>
  <si>
    <t xml:space="preserve">Database</t>
  </si>
  <si>
    <t xml:space="preserve">langflow.db (SQLite, in the config dir)</t>
  </si>
  <si>
    <t xml:space="preserve">Flows, users, and stored credentials. Flow definitions contain embedded API keys.</t>
  </si>
  <si>
    <t xml:space="preserve">LANGFLOW_AUTO_LOGIN</t>
  </si>
  <si>
    <t xml:space="preserve">When true, the instance requires NO LOGIN. Vendor mitigation guidance explicitly says to set it false - so a true value on an exposed host is a finding.</t>
  </si>
  <si>
    <t xml:space="preserve">LANGFLOW_SUPERUSER / LANGFLOW_SUPERUSER_PASSWORD</t>
  </si>
  <si>
    <t xml:space="preserve">Superuser bootstrap credentials, commonly left plaintext in compose files.</t>
  </si>
  <si>
    <t xml:space="preserve">Exported flow JSON files</t>
  </si>
  <si>
    <t xml:space="preserve">Flow exports embed credentials and custom Python component code.</t>
  </si>
  <si>
    <t xml:space="preserve">Path / Variable</t>
  </si>
  <si>
    <t xml:space="preserve">Analyst Note</t>
  </si>
  <si>
    <t xml:space="preserve">LOLAI-ALL</t>
  </si>
  <si>
    <t xml:space="preserve">Any</t>
  </si>
  <si>
    <t xml:space="preserve">OPENAI_API_KEY / ANTHROPIC_API_KEY / GOOGLE_API_KEY / HF_TOKEN / GROQ_API_KEY</t>
  </si>
  <si>
    <t xml:space="preserve">Process env is readable by any process running as the user</t>
  </si>
  <si>
    <t xml:space="preserve">ANTHROPIC_BASE_URL / OPENAI_BASE_URL / OPENAI_API_BASE</t>
  </si>
  <si>
    <t xml:space="preserve">NOT a secret but a REDIRECTION VECTOR - a modified value silently proxies all prompts and code</t>
  </si>
  <si>
    <t xml:space="preserve">MCP hosts</t>
  </si>
  <si>
    <t xml:space="preserve">Config env block</t>
  </si>
  <si>
    <t xml:space="preserve">mcpServers.&lt;name&gt;.env inside any MCP config JSON</t>
  </si>
  <si>
    <t xml:space="preserve">Most common place secrets end up in plaintext across the whole AI toolchain</t>
  </si>
  <si>
    <t xml:space="preserve">LOLAI-0025</t>
  </si>
  <si>
    <t xml:space="preserve">Env Var / file</t>
  </si>
  <si>
    <t xml:space="preserve">Decrypts every stored n8n credential - crown jewel</t>
  </si>
  <si>
    <t xml:space="preserve">LOLAI-0027</t>
  </si>
  <si>
    <t xml:space="preserve">OAI_CONFIG_LIST</t>
  </si>
  <si>
    <t xml:space="preserve">Plaintext JSON api_key array</t>
  </si>
  <si>
    <t xml:space="preserve">LOLAI-0031</t>
  </si>
  <si>
    <t xml:space="preserve">Session File</t>
  </si>
  <si>
    <t xml:space="preserve">storage-state JSON (cookies + localStorage)</t>
  </si>
  <si>
    <t xml:space="preserve">Equivalent to a stolen browser session - MFA bypass</t>
  </si>
  <si>
    <t xml:space="preserve">Hive / Key</t>
  </si>
  <si>
    <t xml:space="preserve">Value Name</t>
  </si>
  <si>
    <t xml:space="preserve">Type</t>
  </si>
  <si>
    <t xml:space="preserve">Purpose</t>
  </si>
  <si>
    <t xml:space="preserve">Persistence?</t>
  </si>
  <si>
    <t xml:space="preserve">AIRT-ALL</t>
  </si>
  <si>
    <t xml:space="preserve">Multiple (Cursor, others)</t>
  </si>
  <si>
    <t xml:space="preserve">HKLM\SOFTWARE\Microsoft\Cryptography</t>
  </si>
  <si>
    <t xml:space="preserve">MachineGuid</t>
  </si>
  <si>
    <t xml:space="preserve">REG_SZ</t>
  </si>
  <si>
    <t xml:space="preserve">Read (not written) for device fingerprinting / licensing telemetry</t>
  </si>
  <si>
    <t xml:space="preserve">HKCU\Software\Microsoft\Windows\CurrentVersion\Uninstall\&lt;Cursor GUID&gt;</t>
  </si>
  <si>
    <t xml:space="preserve">InstallLocation, DisplayVersion</t>
  </si>
  <si>
    <t xml:space="preserve">Install metadata + version</t>
  </si>
  <si>
    <t xml:space="preserve">HKCU\Software\Classes\cursor\shell\open\command</t>
  </si>
  <si>
    <t xml:space="preserve">(Default)</t>
  </si>
  <si>
    <t xml:space="preserve">cursor:// protocol handler</t>
  </si>
  <si>
    <t xml:space="preserve">Indirect</t>
  </si>
  <si>
    <t xml:space="preserve">HKCU\Software\Microsoft\Windows\CurrentVersion\Run</t>
  </si>
  <si>
    <t xml:space="preserve">Auto-start on login (if enabled)</t>
  </si>
  <si>
    <t xml:space="preserve">YES</t>
  </si>
  <si>
    <t xml:space="preserve">HKCU\Software\Microsoft\Windows\CurrentVersion\Uninstall\Claude</t>
  </si>
  <si>
    <t xml:space="preserve">Install metadata</t>
  </si>
  <si>
    <t xml:space="preserve">Claude</t>
  </si>
  <si>
    <t xml:space="preserve">Auto-start - LAUNCHES ALL CONFIGURED MCP SERVERS ON LOGIN</t>
  </si>
  <si>
    <t xml:space="preserve">YES - CRITICAL</t>
  </si>
  <si>
    <t xml:space="preserve">HKCU\Software\Classes\claude\shell\open\command</t>
  </si>
  <si>
    <t xml:space="preserve">claude:// protocol handler - deep-link vector</t>
  </si>
  <si>
    <t xml:space="preserve">Claude Desktop (MSIX)</t>
  </si>
  <si>
    <t xml:space="preserve">HKCU\Software\Classes\ActivatableClasses\Package\Claude_pzs8sxrjxfjjc*</t>
  </si>
  <si>
    <t xml:space="preserve">Key</t>
  </si>
  <si>
    <t xml:space="preserve">Store package registration</t>
  </si>
  <si>
    <t xml:space="preserve">Auto-start ollama app -&gt; starts server on 11434</t>
  </si>
  <si>
    <t xml:space="preserve">HKCU\Environment</t>
  </si>
  <si>
    <t xml:space="preserve">OLLAMA_HOST</t>
  </si>
  <si>
    <t xml:space="preserve">Bind address override - VALUE OF 0.0.0.0 = NETWORK EXPOSURE</t>
  </si>
  <si>
    <t xml:space="preserve">OLLAMA_MODELS / OLLAMA_ORIGINS</t>
  </si>
  <si>
    <t xml:space="preserve">Model path + CORS allowlist. OLLAMA_ORIGINS=* weakens browser-origin controls</t>
  </si>
  <si>
    <t xml:space="preserve">HKCU\Software\Microsoft\Windows\CurrentVersion\Uninstall\Ollama</t>
  </si>
  <si>
    <t xml:space="preserve">InstallLocation</t>
  </si>
  <si>
    <t xml:space="preserve">HKCU\Software\Microsoft\Windows\CurrentVersion\Uninstall\*LM Studio*</t>
  </si>
  <si>
    <t xml:space="preserve">LMS_SERVER_HOST</t>
  </si>
  <si>
    <t xml:space="preserve">0.0.0.0 = NETWORK EXPOSURE of the OpenAI-compatible API</t>
  </si>
  <si>
    <t xml:space="preserve">GPT4ALL_HOME / GPT4ALL_MODEL_PATH</t>
  </si>
  <si>
    <t xml:space="preserve">Data + model path redirection</t>
  </si>
  <si>
    <t xml:space="preserve">Any (credential env vars)</t>
  </si>
  <si>
    <t xml:space="preserve">OPENAI_API_KEY, ANTHROPIC_API_KEY, ANTHROPIC_BASE_URL, OPENAI_BASE_URL, GOOGLE_API_KEY, HF_TOKEN</t>
  </si>
  <si>
    <t xml:space="preserve">PERSISTENT USER-LEVEL SECRETS. A modified *_BASE_URL silently redirects ALL inference to an attacker proxy</t>
  </si>
  <si>
    <t xml:space="preserve">No - but HIGH VALUE</t>
  </si>
  <si>
    <t xml:space="preserve">Any (VS Code family)</t>
  </si>
  <si>
    <t xml:space="preserve">HKCU\Software\Microsoft\Windows\CurrentVersion\Uninstall\*</t>
  </si>
  <si>
    <t xml:space="preserve">DisplayName contains Cursor/Windsurf/Copilot</t>
  </si>
  <si>
    <t xml:space="preserve">Shadow-AI IDE inventory sweep</t>
  </si>
  <si>
    <t xml:space="preserve">Decrypts ALL stored n8n credentials - CROWN JEWEL</t>
  </si>
  <si>
    <t xml:space="preserve">Direction</t>
  </si>
  <si>
    <t xml:space="preserve">Indicator / Domain</t>
  </si>
  <si>
    <t xml:space="preserve">Port / Proto</t>
  </si>
  <si>
    <t xml:space="preserve">Default Bind</t>
  </si>
  <si>
    <t xml:space="preserve">Auth by Default</t>
  </si>
  <si>
    <t xml:space="preserve">Risk</t>
  </si>
  <si>
    <t xml:space="preserve">Egress</t>
  </si>
  <si>
    <t xml:space="preserve">api.anthropic.com</t>
  </si>
  <si>
    <t xml:space="preserve">443/TCP</t>
  </si>
  <si>
    <t xml:space="preserve">API key/OAuth</t>
  </si>
  <si>
    <t xml:space="preserve">ANTHROPIC_BASE_URL can redirect to a gateway/proxy - check for overrides</t>
  </si>
  <si>
    <t xml:space="preserve">claude.ai (installer), statsig.anthropic.com (telemetry)</t>
  </si>
  <si>
    <t xml:space="preserve">install.sh source</t>
  </si>
  <si>
    <t xml:space="preserve">*.cursor.sh, api2.cursor.sh, *.anysphere.co</t>
  </si>
  <si>
    <t xml:space="preserve">Account token</t>
  </si>
  <si>
    <t xml:space="preserve">Codebase context is sent to Anysphere cloud unless Privacy Mode</t>
  </si>
  <si>
    <t xml:space="preserve">api.github.com, copilot-proxy.githubusercontent.com, api.githubcopilot.com</t>
  </si>
  <si>
    <t xml:space="preserve">OAuth token</t>
  </si>
  <si>
    <t xml:space="preserve">Token exchange at api.github.com/copilot_internal/v2/token</t>
  </si>
  <si>
    <t xml:space="preserve">openrouter.ai, api.openai.com, api.anthropic.com</t>
  </si>
  <si>
    <t xml:space="preserve">API key</t>
  </si>
  <si>
    <t xml:space="preserve">Ingress (loopback)</t>
  </si>
  <si>
    <t xml:space="preserve">OAuth PKCE callback listener</t>
  </si>
  <si>
    <t xml:space="preserve">8484-8584/TCP</t>
  </si>
  <si>
    <t xml:space="preserve">127.0.0.1</t>
  </si>
  <si>
    <t xml:space="preserve">None</t>
  </si>
  <si>
    <t xml:space="preserve">TRANSIENT listener during OpenRouter auth</t>
  </si>
  <si>
    <t xml:space="preserve">Configured provider base_url (arbitrary)</t>
  </si>
  <si>
    <t xml:space="preserve">config.yaml can name ANY endpoint - inspect base_url values</t>
  </si>
  <si>
    <t xml:space="preserve">server.codeium.com, *.codeium.com, *.windsurf.com</t>
  </si>
  <si>
    <t xml:space="preserve">Full-codebase indexing to cloud</t>
  </si>
  <si>
    <t xml:space="preserve">app.devin.ai, *.cognition.ai</t>
  </si>
  <si>
    <t xml:space="preserve">Account</t>
  </si>
  <si>
    <t xml:space="preserve">Primary and often ONLY endpoint indicator</t>
  </si>
  <si>
    <t xml:space="preserve">q.us-east-1.amazonaws.com, codewhisperer.*.amazonaws.com, *.awsapps.com/start</t>
  </si>
  <si>
    <t xml:space="preserve">HTTPS_PROXY honored</t>
  </si>
  <si>
    <t xml:space="preserve">api.tabnine.com, update.tabnine.com</t>
  </si>
  <si>
    <t xml:space="preserve">Optional OTLP telemetry endpoint is configurable</t>
  </si>
  <si>
    <t xml:space="preserve">*.supermaven.com</t>
  </si>
  <si>
    <t xml:space="preserve">api.anthropic.com, claude.ai</t>
  </si>
  <si>
    <t xml:space="preserve">OAuth</t>
  </si>
  <si>
    <t xml:space="preserve">Plus ANY egress initiated by child MCP servers</t>
  </si>
  <si>
    <t xml:space="preserve">Egress (indirect)</t>
  </si>
  <si>
    <t xml:space="preserve">registry.npmjs.org (npx MCP server fetch)</t>
  </si>
  <si>
    <t xml:space="preserve">npx @scope/server@latest pulls and EXECUTES code at every launch - supply-chain risk</t>
  </si>
  <si>
    <t xml:space="preserve">api.openai.com or configured base_url; NONE in --local mode</t>
  </si>
  <si>
    <t xml:space="preserve">--local mode has ZERO network IOCs - file/process telemetry only</t>
  </si>
  <si>
    <t xml:space="preserve">Listener</t>
  </si>
  <si>
    <t xml:space="preserve">Ollama OpenAI-compatible + native API</t>
  </si>
  <si>
    <t xml:space="preserve">11434/TCP</t>
  </si>
  <si>
    <t xml:space="preserve">127.0.0.1 (0.0.0.0 if OLLAMA_HOST set)</t>
  </si>
  <si>
    <t xml:space="preserve">NONE</t>
  </si>
  <si>
    <t xml:space="preserve">NO DEFAULT AUTH. ~175,000 exposed hosts observed (SentinelLABS+Censys, Jan 2026). Primary LLMjacking target.</t>
  </si>
  <si>
    <t xml:space="preserve">registry.ollama.ai, ollama.com</t>
  </si>
  <si>
    <t xml:space="preserve">Model pulls - multi-GB inbound transfers</t>
  </si>
  <si>
    <t xml:space="preserve">OpenAI-compatible API</t>
  </si>
  <si>
    <t xml:space="preserve">1234/TCP</t>
  </si>
  <si>
    <t xml:space="preserve">127.0.0.1 (0.0.0.0 if 'Serve on Local Network')</t>
  </si>
  <si>
    <t xml:space="preserve">huggingface.co, lmstudio.ai</t>
  </si>
  <si>
    <t xml:space="preserve">Optional token</t>
  </si>
  <si>
    <t xml:space="preserve">Model downloads</t>
  </si>
  <si>
    <t xml:space="preserve">Jan local API / headless</t>
  </si>
  <si>
    <t xml:space="preserve">1337/TCP (also 8080)</t>
  </si>
  <si>
    <t xml:space="preserve">Local HTTP API server</t>
  </si>
  <si>
    <t xml:space="preserve">4891/TCP</t>
  </si>
  <si>
    <t xml:space="preserve">127.0.0.1 only</t>
  </si>
  <si>
    <t xml:space="preserve">Localhost-bound by design</t>
  </si>
  <si>
    <t xml:space="preserve">llama-server HTTP API</t>
  </si>
  <si>
    <t xml:space="preserve">8080/TCP</t>
  </si>
  <si>
    <t xml:space="preserve">Optional --api-key</t>
  </si>
  <si>
    <t xml:space="preserve">Gradio UI / OpenAI-compatible API</t>
  </si>
  <si>
    <t xml:space="preserve">7860/TCP, 5000/TCP</t>
  </si>
  <si>
    <t xml:space="preserve">Optional</t>
  </si>
  <si>
    <t xml:space="preserve">--share creates a PUBLIC gradio.live TUNNEL - covert ingress</t>
  </si>
  <si>
    <t xml:space="preserve">Kobold API + web UI</t>
  </si>
  <si>
    <t xml:space="preserve">5001/TCP</t>
  </si>
  <si>
    <t xml:space="preserve">0.0.0.0 (container)</t>
  </si>
  <si>
    <t xml:space="preserve">Optional API key</t>
  </si>
  <si>
    <t xml:space="preserve">Container default binds broadly</t>
  </si>
  <si>
    <t xml:space="preserve">n8n editor UI + REST API + webhooks</t>
  </si>
  <si>
    <t xml:space="preserve">5678/TCP</t>
  </si>
  <si>
    <t xml:space="preserve">0.0.0.0</t>
  </si>
  <si>
    <t xml:space="preserve">Basic auth OPTIONAL</t>
  </si>
  <si>
    <t xml:space="preserve">Exposed 5678 without auth = full workflow + credential compromise. Webhooks are unauthenticated ingress by design.</t>
  </si>
  <si>
    <t xml:space="preserve">Dify web + API</t>
  </si>
  <si>
    <t xml:space="preserve">80/443, 5001/TCP</t>
  </si>
  <si>
    <t xml:space="preserve">App auth</t>
  </si>
  <si>
    <t xml:space="preserve">Flowise UI + prediction API</t>
  </si>
  <si>
    <t xml:space="preserve">3000/TCP</t>
  </si>
  <si>
    <t xml:space="preserve">Weak/optional historically</t>
  </si>
  <si>
    <t xml:space="preserve">Frequently found internet-exposed</t>
  </si>
  <si>
    <t xml:space="preserve">Skyvern API + UI</t>
  </si>
  <si>
    <t xml:space="preserve">8000/TCP, 8080/TCP</t>
  </si>
  <si>
    <t xml:space="preserve">SSE/HTTP transport mode</t>
  </si>
  <si>
    <t xml:space="preserve">Configurable (PLAYWRIGHT_MCP_HOST)</t>
  </si>
  <si>
    <t xml:space="preserve">127.0.0.1 (0.0.0.0 if set)</t>
  </si>
  <si>
    <t xml:space="preserve">0.0.0.0 bind = REMOTE BROWSER CONTROL of the host</t>
  </si>
  <si>
    <t xml:space="preserve">playwright.azureedge.net / cdn.playwright.dev (browser binary download)</t>
  </si>
  <si>
    <t xml:space="preserve">First-run downloads full browser binaries</t>
  </si>
  <si>
    <t xml:space="preserve">Configured LLM provider + arbitrary target sites</t>
  </si>
  <si>
    <t xml:space="preserve">Agent-driven browsing produces anomalous, machine-paced web traffic</t>
  </si>
  <si>
    <t xml:space="preserve">High-volume image (screenshot) uploads - distinctive egress volume signature</t>
  </si>
  <si>
    <t xml:space="preserve">operator.chatgpt.com, *.openai.com</t>
  </si>
  <si>
    <t xml:space="preserve">Model repositories</t>
  </si>
  <si>
    <t xml:space="preserve">huggingface.co, cdn-lfs.huggingface.co, modelscope.cn, civitai.com, nomic.ai, replicate.com</t>
  </si>
  <si>
    <t xml:space="preserve">Splunk STRT DNS analytic pivots on these - multi-GB downloads to workstations</t>
  </si>
  <si>
    <t xml:space="preserve">Inference providers</t>
  </si>
  <si>
    <t xml:space="preserve">api.openai.com, api.anthropic.com, generativelanguage.googleapis.com, api.deepseek.com, api.mistral.ai, openrouter.ai, api.groq.com, api.together.xyz</t>
  </si>
  <si>
    <t xml:space="preserve">Baseline sanctioned providers; alert on unsanctioned ones</t>
  </si>
  <si>
    <t xml:space="preserve">api.openai.com, chatgpt.com (OAuth)</t>
  </si>
  <si>
    <t xml:space="preserve">OAuth / API key</t>
  </si>
  <si>
    <t xml:space="preserve">generativelanguage.googleapis.com, oauth2.googleapis.com, accounts.google.com</t>
  </si>
  <si>
    <t xml:space="preserve">Configured provider endpoint (arbitrary)</t>
  </si>
  <si>
    <t xml:space="preserve">Keyring secret</t>
  </si>
  <si>
    <t xml:space="preserve">Standalone gRPC server</t>
  </si>
  <si>
    <t xml:space="preserve">26040/TCP</t>
  </si>
  <si>
    <t xml:space="preserve">SINGLE-SOURCE - corroborate before detecting</t>
  </si>
  <si>
    <t xml:space="preserve">Configured provider (Anthropic/OpenAI/OpenRouter/Bedrock/local)</t>
  </si>
  <si>
    <t xml:space="preserve">SecretStorage</t>
  </si>
  <si>
    <t xml:space="preserve">Configured provider (arbitrary)</t>
  </si>
  <si>
    <t xml:space="preserve">*.devinapps.com (IDE/Desktop iframes), app.devin.ai</t>
  </si>
  <si>
    <t xml:space="preserve">443/TCP + WSS</t>
  </si>
  <si>
    <t xml:space="preserve">CORRECTED: workstations must reach *.devinapps.com - this is the primary network IOC</t>
  </si>
  <si>
    <t xml:space="preserve">OpenHands web UI + API (uvicorn)</t>
  </si>
  <si>
    <t xml:space="preserve">None in default local deploy</t>
  </si>
  <si>
    <t xml:space="preserve">Documented quick start publishes -p 3000:3000. Frontend dev server on 3001 when run from source.</t>
  </si>
  <si>
    <t xml:space="preserve">Sandbox VS Code server</t>
  </si>
  <si>
    <t xml:space="preserve">41234/TCP (SANDBOX_VSCODE_PORT)</t>
  </si>
  <si>
    <t xml:space="preserve">Published when the in-sandbox editor is used.</t>
  </si>
  <si>
    <t xml:space="preserve">docker.openhands.dev, ghcr.io, docker.all-hands.dev</t>
  </si>
  <si>
    <t xml:space="preserve">Runtime image pulls.</t>
  </si>
  <si>
    <t xml:space="preserve">LLM_BASE_URL / LLM_OLLAMA_BASE_URL configured endpoint</t>
  </si>
  <si>
    <t xml:space="preserve">443/TCP, 11434/TCP</t>
  </si>
  <si>
    <t xml:space="preserve">Endpoint-override variables - a modified value redirects all agent traffic.</t>
  </si>
  <si>
    <t xml:space="preserve">Langflow web UI + API</t>
  </si>
  <si>
    <t xml:space="preserve">7860/TCP</t>
  </si>
  <si>
    <t xml:space="preserve">None when LANGFLOW_AUTO_LOGIN=true</t>
  </si>
  <si>
    <t xml:space="preserve">MASS-EXPLOITED. Attackers enumerate exposed instances via Shodan/FOFA, then hit /api/v1/validate/code.</t>
  </si>
  <si>
    <t xml:space="preserve">Configured LLM provider endpoints</t>
  </si>
  <si>
    <t xml:space="preserve">Process Name</t>
  </si>
  <si>
    <t xml:space="preserve">Typical Parent</t>
  </si>
  <si>
    <t xml:space="preserve">Typical Children</t>
  </si>
  <si>
    <t xml:space="preserve">Service / Daemon</t>
  </si>
  <si>
    <t xml:space="preserve">Persistence Mechanism</t>
  </si>
  <si>
    <t xml:space="preserve">node.exe (claude)</t>
  </si>
  <si>
    <t xml:space="preserve">cmd.exe / powershell.exe / WindowsTerminal.exe</t>
  </si>
  <si>
    <t xml:space="preserve">cmd.exe, powershell.exe, git.exe, python.exe, npx</t>
  </si>
  <si>
    <t xml:space="preserve">None (user-invoked)</t>
  </si>
  <si>
    <t xml:space="preserve">claude / node</t>
  </si>
  <si>
    <t xml:space="preserve">bash / zsh / tmux</t>
  </si>
  <si>
    <t xml:space="preserve">sh, bash, git, python3, node (MCP)</t>
  </si>
  <si>
    <t xml:space="preserve">Cursor.exe</t>
  </si>
  <si>
    <t xml:space="preserve">explorer.exe</t>
  </si>
  <si>
    <t xml:space="preserve">Cursor.exe (renderer), node.exe, cmd.exe, powershell.exe</t>
  </si>
  <si>
    <t xml:space="preserve">Run key (optional)</t>
  </si>
  <si>
    <t xml:space="preserve">copilot-language-server / node</t>
  </si>
  <si>
    <t xml:space="preserve">Code.exe / cursor / nvim</t>
  </si>
  <si>
    <t xml:space="preserve">git, gh, node (MCP)</t>
  </si>
  <si>
    <t xml:space="preserve">aider / python</t>
  </si>
  <si>
    <t xml:space="preserve">shell</t>
  </si>
  <si>
    <t xml:space="preserve">git, python</t>
  </si>
  <si>
    <t xml:space="preserve">node (extension host)</t>
  </si>
  <si>
    <t xml:space="preserve">Code.exe</t>
  </si>
  <si>
    <t xml:space="preserve">node (MCP servers)</t>
  </si>
  <si>
    <t xml:space="preserve">Windsurf.exe, language_server_windows_x64.exe</t>
  </si>
  <si>
    <t xml:space="preserve">cmd.exe, powershell.exe, node.exe</t>
  </si>
  <si>
    <t xml:space="preserve">node (aws-lsp-codewhisperer-token-binary.js)</t>
  </si>
  <si>
    <t xml:space="preserve">Code.exe / idea</t>
  </si>
  <si>
    <t xml:space="preserve">TabNine.exe / TabNine-deep-local.exe</t>
  </si>
  <si>
    <t xml:space="preserve">Claude.exe</t>
  </si>
  <si>
    <t xml:space="preserve">node.exe, npx.cmd, python.exe, docker.exe, uvx</t>
  </si>
  <si>
    <t xml:space="preserve">Run key - LAUNCHES ALL MCP SERVERS ON LOGIN</t>
  </si>
  <si>
    <t xml:space="preserve">launchd</t>
  </si>
  <si>
    <t xml:space="preserve">node, npx, python3, docker</t>
  </si>
  <si>
    <t xml:space="preserve">LaunchAgent (login items)</t>
  </si>
  <si>
    <t xml:space="preserve">interpreter / python</t>
  </si>
  <si>
    <t xml:space="preserve">sh, bash, cmd.exe, powershell.exe, python</t>
  </si>
  <si>
    <t xml:space="preserve">ollama.exe, ollama app.exe</t>
  </si>
  <si>
    <t xml:space="preserve">explorer.exe (Run key)</t>
  </si>
  <si>
    <t xml:space="preserve">ollama_llama_server.exe</t>
  </si>
  <si>
    <t xml:space="preserve">No (tray app)</t>
  </si>
  <si>
    <t xml:space="preserve">HKCU Run key</t>
  </si>
  <si>
    <t xml:space="preserve">ollama</t>
  </si>
  <si>
    <t xml:space="preserve">systemd (PID 1)</t>
  </si>
  <si>
    <t xml:space="preserve">YES - ollama.service</t>
  </si>
  <si>
    <t xml:space="preserve">systemd unit, enabled at boot</t>
  </si>
  <si>
    <t xml:space="preserve">Ollama / ollama</t>
  </si>
  <si>
    <t xml:space="preserve">LaunchAgent</t>
  </si>
  <si>
    <t xml:space="preserve">~/Library/LaunchAgents</t>
  </si>
  <si>
    <t xml:space="preserve">LM Studio.exe, llmster.exe, lms.exe</t>
  </si>
  <si>
    <t xml:space="preserve">llmster daemon</t>
  </si>
  <si>
    <t xml:space="preserve">jan, jan-daemon</t>
  </si>
  <si>
    <t xml:space="preserve">systemd / user shell</t>
  </si>
  <si>
    <t xml:space="preserve">YES (daemon mode)</t>
  </si>
  <si>
    <t xml:space="preserve">systemd unit + /etc/jan/jan.env</t>
  </si>
  <si>
    <t xml:space="preserve">chat.exe / gpt4all.exe</t>
  </si>
  <si>
    <t xml:space="preserve">llama-server, llama-cli, llama-run</t>
  </si>
  <si>
    <t xml:space="preserve">shell / systemd</t>
  </si>
  <si>
    <t xml:space="preserve">Optional custom unit</t>
  </si>
  <si>
    <t xml:space="preserve">User-created service = SUSPICIOUS</t>
  </si>
  <si>
    <t xml:space="preserve">python (server.py), text-generation-webui.exe</t>
  </si>
  <si>
    <t xml:space="preserve">python (extensions)</t>
  </si>
  <si>
    <t xml:space="preserve">koboldcpp.exe</t>
  </si>
  <si>
    <t xml:space="preserve">explorer.exe / shell</t>
  </si>
  <si>
    <t xml:space="preserve">None - PORTABLE SINGLE BINARY</t>
  </si>
  <si>
    <t xml:space="preserve">node (n8n)</t>
  </si>
  <si>
    <t xml:space="preserve">systemd / dockerd</t>
  </si>
  <si>
    <t xml:space="preserve">node (task runner), python (Code node)</t>
  </si>
  <si>
    <t xml:space="preserve">systemd unit or Docker restart:always</t>
  </si>
  <si>
    <t xml:space="preserve">python</t>
  </si>
  <si>
    <t xml:space="preserve">sh/cmd (LocalCommandLineCodeExecutor), docker</t>
  </si>
  <si>
    <t xml:space="preserve">python / crewai</t>
  </si>
  <si>
    <t xml:space="preserve">python, sh</t>
  </si>
  <si>
    <t xml:space="preserve">node (flowise)</t>
  </si>
  <si>
    <t xml:space="preserve">systemd / dockerd / npx</t>
  </si>
  <si>
    <t xml:space="preserve">node</t>
  </si>
  <si>
    <t xml:space="preserve">pm2 / systemd / Docker</t>
  </si>
  <si>
    <t xml:space="preserve">npx -&gt; node (@playwright/mcp)</t>
  </si>
  <si>
    <t xml:space="preserve">Claude.exe / Cursor.exe / Code.exe / node</t>
  </si>
  <si>
    <t xml:space="preserve">chrome.exe / chromium / headless_shell / firefox</t>
  </si>
  <si>
    <t xml:space="preserve">Persists via the MCP config of its host client</t>
  </si>
  <si>
    <t xml:space="preserve">node, chromium, headless_shell</t>
  </si>
  <si>
    <t xml:space="preserve">python (uvicorn)</t>
  </si>
  <si>
    <t xml:space="preserve">dockerd</t>
  </si>
  <si>
    <t xml:space="preserve">chromium, headless_shell</t>
  </si>
  <si>
    <t xml:space="preserve">YES (container)</t>
  </si>
  <si>
    <t xml:space="preserve">Docker restart policy</t>
  </si>
  <si>
    <t xml:space="preserve">Generic MCP server</t>
  </si>
  <si>
    <t xml:space="preserve">node / npx / python / uvx / docker / deno / bun</t>
  </si>
  <si>
    <t xml:space="preserve">Claude.exe, Cursor.exe, Code.exe, Windsurf.exe, claude (CLI)</t>
  </si>
  <si>
    <t xml:space="preserve">ANY - defined by the server</t>
  </si>
  <si>
    <t xml:space="preserve">Spawned at host-app launch via MCP config</t>
  </si>
  <si>
    <t xml:space="preserve">codex / node</t>
  </si>
  <si>
    <t xml:space="preserve">sh, bash, cmd.exe, powershell.exe, git, node (MCP)</t>
  </si>
  <si>
    <t xml:space="preserve">gemini / node</t>
  </si>
  <si>
    <t xml:space="preserve">sh, bash, git, node (MCP)</t>
  </si>
  <si>
    <t xml:space="preserve">goose / goosed</t>
  </si>
  <si>
    <t xml:space="preserve">shell / Goose Desktop</t>
  </si>
  <si>
    <t xml:space="preserve">sh, bash, node, python, uvx (extensions)</t>
  </si>
  <si>
    <t xml:space="preserve">Code.exe / cursor</t>
  </si>
  <si>
    <t xml:space="preserve">cmd.exe, powershell.exe, bash, node (MCP)</t>
  </si>
  <si>
    <t xml:space="preserve">devin (CLI); VS Code Remote-SSH child</t>
  </si>
  <si>
    <t xml:space="preserve">shell / Code.exe</t>
  </si>
  <si>
    <t xml:space="preserve">ssh</t>
  </si>
  <si>
    <t xml:space="preserve">python (uvicorn openhands.server.listen:app)</t>
  </si>
  <si>
    <t xml:space="preserve">dockerd / shell</t>
  </si>
  <si>
    <t xml:space="preserve">docker (sandbox spawn), node</t>
  </si>
  <si>
    <t xml:space="preserve">python (langflow run) / uvicorn</t>
  </si>
  <si>
    <t xml:space="preserve">python (custom components)</t>
  </si>
  <si>
    <t xml:space="preserve">Docker restart policy or systemd</t>
  </si>
  <si>
    <t xml:space="preserve">Client</t>
  </si>
  <si>
    <t xml:space="preserve">Config Path</t>
  </si>
  <si>
    <t xml:space="preserve">Config Key</t>
  </si>
  <si>
    <t xml:space="preserve">Spawn Mechanism</t>
  </si>
  <si>
    <t xml:space="preserve">Secrets Location</t>
  </si>
  <si>
    <t xml:space="preserve">Persistence Trigger</t>
  </si>
  <si>
    <t xml:space="preserve">Priority</t>
  </si>
  <si>
    <t xml:space="preserve">mcpServers.&lt;name&gt;.command + .args</t>
  </si>
  <si>
    <t xml:space="preserve">Child process at app launch</t>
  </si>
  <si>
    <t xml:space="preserve">mcpServers.&lt;name&gt;.env</t>
  </si>
  <si>
    <t xml:space="preserve">Every app start (+ Run key)</t>
  </si>
  <si>
    <t xml:space="preserve">P1 - CRITICAL</t>
  </si>
  <si>
    <t xml:space="preserve">Standard EXE-installer path</t>
  </si>
  <si>
    <t xml:space="preserve">mcpServers</t>
  </si>
  <si>
    <t xml:space="preserve">Every app start</t>
  </si>
  <si>
    <t xml:space="preserve">VIRTUALIZED - the app reads THIS. 'Edit Config' in the UI can open the WRONG file. Commonly missed in IR.</t>
  </si>
  <si>
    <t xml:space="preserve">Every app start (LaunchAgent)</t>
  </si>
  <si>
    <t xml:space="preserve">mcpServers (user scope)</t>
  </si>
  <si>
    <t xml:space="preserve">Child process on CLI start</t>
  </si>
  <si>
    <t xml:space="preserve">env block</t>
  </si>
  <si>
    <t xml:space="preserve">Every CLI invocation</t>
  </si>
  <si>
    <t xml:space="preserve">P1</t>
  </si>
  <si>
    <t xml:space="preserve">User-scoped, applies to all projects</t>
  </si>
  <si>
    <t xml:space="preserve">mcpServers (project scope)</t>
  </si>
  <si>
    <t xml:space="preserve">Child process on CLI start in repo</t>
  </si>
  <si>
    <t xml:space="preserve">Every CLI invocation in repo</t>
  </si>
  <si>
    <t xml:space="preserve">TRAVELS WITH THE REPO - review on every clone/PR</t>
  </si>
  <si>
    <t xml:space="preserve">&lt;repo&gt;/.claude/settings.local.json</t>
  </si>
  <si>
    <t xml:space="preserve">enabledMcpjsonServers</t>
  </si>
  <si>
    <t xml:space="preserve">Approval gate for .mcp.json</t>
  </si>
  <si>
    <t xml:space="preserve">P2</t>
  </si>
  <si>
    <t xml:space="preserve">Records which project servers the user approved - CONSENT EVIDENCE</t>
  </si>
  <si>
    <t xml:space="preserve">Child process at IDE start</t>
  </si>
  <si>
    <t xml:space="preserve">Every IDE start</t>
  </si>
  <si>
    <t xml:space="preserve">Global scope</t>
  </si>
  <si>
    <t xml:space="preserve">Child process on workspace open</t>
  </si>
  <si>
    <t xml:space="preserve">Every workspace open</t>
  </si>
  <si>
    <t xml:space="preserve">TRAVELS WITH THE REPO</t>
  </si>
  <si>
    <t xml:space="preserve">Windsurf / Codeium</t>
  </si>
  <si>
    <t xml:space="preserve">GitHub Copilot CLI</t>
  </si>
  <si>
    <t xml:space="preserve">Bundles a built-in GitHub MCP server</t>
  </si>
  <si>
    <t xml:space="preserve">VS Code (Copilot agent)</t>
  </si>
  <si>
    <t xml:space="preserve">&lt;repo&gt;/.vscode/mcp.json</t>
  </si>
  <si>
    <t xml:space="preserve">servers</t>
  </si>
  <si>
    <t xml:space="preserve">inputs / env</t>
  </si>
  <si>
    <t xml:space="preserve">User settings.json -&gt; mcp.servers</t>
  </si>
  <si>
    <t xml:space="preserve">mcp.servers</t>
  </si>
  <si>
    <t xml:space="preserve">env</t>
  </si>
  <si>
    <t xml:space="preserve">*.mcpb / *.dxt bundle files</t>
  </si>
  <si>
    <t xml:space="preserve">manifest.json inside archive</t>
  </si>
  <si>
    <t xml:space="preserve">Installed then spawned</t>
  </si>
  <si>
    <t xml:space="preserve">manifest user_config</t>
  </si>
  <si>
    <t xml:space="preserve">ZIP ARCHIVE - unpack and review server code before trusting</t>
  </si>
  <si>
    <t xml:space="preserve">npx cache (~/.npm/_npx)</t>
  </si>
  <si>
    <t xml:space="preserve">npx @scope/pkg@latest fetches AND EXECUTES on every launch</t>
  </si>
  <si>
    <t xml:space="preserve">Per-launch remote fetch</t>
  </si>
  <si>
    <t xml:space="preserve">P1 - SUPPLY CHAIN</t>
  </si>
  <si>
    <t xml:space="preserve">A pinned version is materially safer than @latest. Audit for @latest in MCP commands.</t>
  </si>
  <si>
    <t xml:space="preserve">Docker-based MCP servers</t>
  </si>
  <si>
    <t xml:space="preserve">command: docker, args: run ...</t>
  </si>
  <si>
    <t xml:space="preserve">Container per launch</t>
  </si>
  <si>
    <t xml:space="preserve">-e flags / env file</t>
  </si>
  <si>
    <t xml:space="preserve">Every launch</t>
  </si>
  <si>
    <t xml:space="preserve">docker run --rm -i with volume mounts = FILESYSTEM ACCESS FROM CONTAINER</t>
  </si>
  <si>
    <t xml:space="preserve">Codex CLI</t>
  </si>
  <si>
    <t xml:space="preserve">[mcp_servers]</t>
  </si>
  <si>
    <t xml:space="preserve">env in server block</t>
  </si>
  <si>
    <t xml:space="preserve">TOML not JSON - grep patterns must cover both</t>
  </si>
  <si>
    <t xml:space="preserve">Gemini CLI</t>
  </si>
  <si>
    <t xml:space="preserve">Every CLI invocation, all users</t>
  </si>
  <si>
    <t xml:space="preserve">P1 - PRIVILEGED</t>
  </si>
  <si>
    <t xml:space="preserve">System-wide policy file - root-writable persistence</t>
  </si>
  <si>
    <t xml:space="preserve">extensions</t>
  </si>
  <si>
    <t xml:space="preserve">Child process at agent start</t>
  </si>
  <si>
    <t xml:space="preserve">OS keyring (or secrets.yaml fallback)</t>
  </si>
  <si>
    <t xml:space="preserve">Every agent start</t>
  </si>
  <si>
    <t xml:space="preserve">YAML not JSON</t>
  </si>
  <si>
    <t xml:space="preserve">…/globalStorage/saoudrizwan.claude-dev/settings/cline_mcp_settings.json</t>
  </si>
  <si>
    <t xml:space="preserve">env block (plaintext)</t>
  </si>
  <si>
    <t xml:space="preserve">Syncs via VS Code Settings Sync if enabled</t>
  </si>
  <si>
    <t xml:space="preserve">…/globalStorage/rooveterinaryinc.roo-cline/settings/mcp_settings.json</t>
  </si>
  <si>
    <t xml:space="preserve">[mcp] section</t>
  </si>
  <si>
    <t xml:space="preserve">config.toml plaintext</t>
  </si>
  <si>
    <t xml:space="preserve">Every agent session</t>
  </si>
  <si>
    <t xml:space="preserve">TOML not JSON</t>
  </si>
  <si>
    <t xml:space="preserve">MCP CONFIG RED FLAGS - TRIAGE CHECKLIST</t>
  </si>
  <si>
    <t xml:space="preserve">Red Flag</t>
  </si>
  <si>
    <t xml:space="preserve">Why It Matters</t>
  </si>
  <si>
    <t xml:space="preserve">command uses @latest (npx @scope/server@latest)</t>
  </si>
  <si>
    <t xml:space="preserve">Remote code fetched and executed on every single app launch - a supply-chain compromise lands instantly</t>
  </si>
  <si>
    <t xml:space="preserve">Require pinned versions; alert on @latest in any MCP config</t>
  </si>
  <si>
    <t xml:space="preserve">env block contains an API key, PAT, or token</t>
  </si>
  <si>
    <t xml:space="preserve">Plaintext secret in a JSON file readable by any process running as the user</t>
  </si>
  <si>
    <t xml:space="preserve">DLP + treat as exposed credential; rotate</t>
  </si>
  <si>
    <t xml:space="preserve">command is docker with -v / --volume host mounts</t>
  </si>
  <si>
    <t xml:space="preserve">Container gets read/write access to host filesystem paths</t>
  </si>
  <si>
    <t xml:space="preserve">Review mount scope; deny host-root mounts</t>
  </si>
  <si>
    <t xml:space="preserve">command is an absolute path to a non-standard binary</t>
  </si>
  <si>
    <t xml:space="preserve">Arbitrary executable launched at every login with user privileges</t>
  </si>
  <si>
    <t xml:space="preserve">Treat as unsigned autostart; hash and analyze the binary</t>
  </si>
  <si>
    <t xml:space="preserve">Config modified outside a user-driven install window</t>
  </si>
  <si>
    <t xml:space="preserve">Possible unauthorized persistence implant</t>
  </si>
  <si>
    <t xml:space="preserve">Timeline the file MACB times against user session activity</t>
  </si>
  <si>
    <t xml:space="preserve">MCP server with filesystem scope set to / or C:\ or user home root</t>
  </si>
  <si>
    <t xml:space="preserve">Whole-disk read access exposed to the model context</t>
  </si>
  <si>
    <t xml:space="preserve">Scope to specific project directories only</t>
  </si>
  <si>
    <t xml:space="preserve">Playwright/browser MCP with --caps=storage or --storage-state</t>
  </si>
  <si>
    <t xml:space="preserve">Cookie and localStorage read = session-token theft and MFA bypass</t>
  </si>
  <si>
    <t xml:space="preserve">Escalate; treat as credential-access capability</t>
  </si>
  <si>
    <t xml:space="preserve">.mcp.json / .cursor/mcp.json arriving via a cloned repo or PR</t>
  </si>
  <si>
    <t xml:space="preserve">An untrusted repo can ship an execution primitive that fires on open</t>
  </si>
  <si>
    <t xml:space="preserve">Gate in CI; block MCP config files in PRs from external contributors</t>
  </si>
  <si>
    <t xml:space="preserve">Config references a base_url or endpoint that is not a sanctioned provider</t>
  </si>
  <si>
    <t xml:space="preserve">Silent redirection of all prompts and code to an attacker-controlled proxy</t>
  </si>
  <si>
    <t xml:space="preserve">Escalate as potential data exfiltration channel</t>
  </si>
  <si>
    <t xml:space="preserve">Detection ID</t>
  </si>
  <si>
    <t xml:space="preserve">Tool / Scope</t>
  </si>
  <si>
    <t xml:space="preserve">Detection Name</t>
  </si>
  <si>
    <t xml:space="preserve">Telemetry Source</t>
  </si>
  <si>
    <t xml:space="preserve">Event ID / Data Model</t>
  </si>
  <si>
    <t xml:space="preserve">Logic Summary</t>
  </si>
  <si>
    <t xml:space="preserve">Fidelity</t>
  </si>
  <si>
    <t xml:space="preserve">Expected FP Rate</t>
  </si>
  <si>
    <t xml:space="preserve">MITRE Ref</t>
  </si>
  <si>
    <t xml:space="preserve">Source / Confidence</t>
  </si>
  <si>
    <t xml:space="preserve">DET-001</t>
  </si>
  <si>
    <t xml:space="preserve">Local LLM runtimes</t>
  </si>
  <si>
    <t xml:space="preserve">Local LLM Framework Process Execution</t>
  </si>
  <si>
    <t xml:space="preserve">Sysmon / Windows Security / EDR</t>
  </si>
  <si>
    <t xml:space="preserve">Sysmon EID 1, Win 4688, CS ProcessRollup2</t>
  </si>
  <si>
    <t xml:space="preserve">process_name in (ollama.exe, lmstudio.exe, gpt4all.exe, jan.exe, koboldcpp.exe, llama-server.exe, llama-run.exe, text-generation-webui.exe, oobabooga.exe, nutstudio.exe) OR cmdline contains transformers|langchain</t>
  </si>
  <si>
    <t xml:space="preserve">High in dev orgs</t>
  </si>
  <si>
    <t xml:space="preserve">T1543</t>
  </si>
  <si>
    <t xml:space="preserve">High - Splunk STRT ESCU</t>
  </si>
  <si>
    <t xml:space="preserve">DET-002</t>
  </si>
  <si>
    <t xml:space="preserve">Local LLM Framework DNS Query</t>
  </si>
  <si>
    <t xml:space="preserve">Sysmon DNS</t>
  </si>
  <si>
    <t xml:space="preserve">Sysmon EID 22</t>
  </si>
  <si>
    <t xml:space="preserve">QueryName matches *ollama*, *huggingface*, *lmstudio*, *jan.ai*, *nomic.ai*, *gpt4all*, *openrouter*, *modelscope*, *civitai*, *anthropic*, *openai*, *koboldai*, *oobabooga*, *replicate*</t>
  </si>
  <si>
    <t xml:space="preserve">Low (hunt)</t>
  </si>
  <si>
    <t xml:space="preserve">Very High</t>
  </si>
  <si>
    <t xml:space="preserve">T1590</t>
  </si>
  <si>
    <t xml:space="preserve">DET-003</t>
  </si>
  <si>
    <t xml:space="preserve">LLM Model File Creation</t>
  </si>
  <si>
    <t xml:space="preserve">Sysmon FileCreate</t>
  </si>
  <si>
    <t xml:space="preserve">Sysmon EID 11</t>
  </si>
  <si>
    <t xml:space="preserve">TargetFilename matches *.gguf, *.safetensors, *ggml.dll, *modelfile*, ggml-*.dll</t>
  </si>
  <si>
    <t xml:space="preserve">DET-004</t>
  </si>
  <si>
    <t xml:space="preserve">Ollama Listener Bound to Non-Loopback</t>
  </si>
  <si>
    <t xml:space="preserve">Network / config / EDR</t>
  </si>
  <si>
    <t xml:space="preserve">Sysmon EID 3, netstat, EDR network events</t>
  </si>
  <si>
    <t xml:space="preserve">Listening socket on 11434 with local address != 127.0.0.1/::1</t>
  </si>
  <si>
    <t xml:space="preserve">HIGH</t>
  </si>
  <si>
    <t xml:space="preserve">Very Low</t>
  </si>
  <si>
    <t xml:space="preserve">T1133 / AML.T0024</t>
  </si>
  <si>
    <t xml:space="preserve">DET-005</t>
  </si>
  <si>
    <t xml:space="preserve">Ollama API Endpoint Scan / Excessive Requests</t>
  </si>
  <si>
    <t xml:space="preserve">Ollama server logs (TA-Ollama)</t>
  </si>
  <si>
    <t xml:space="preserve">App log</t>
  </si>
  <si>
    <t xml:space="preserve">High-rate /api/generate, /api/tags, /api/pull from a single source; enumeration of API paths</t>
  </si>
  <si>
    <t xml:space="preserve">T1046 / AML.T0029</t>
  </si>
  <si>
    <t xml:space="preserve">High - Splunk STRT</t>
  </si>
  <si>
    <t xml:space="preserve">DET-006</t>
  </si>
  <si>
    <t xml:space="preserve">Ollama Model Exfiltration</t>
  </si>
  <si>
    <t xml:space="preserve">Ollama server logs</t>
  </si>
  <si>
    <t xml:space="preserve">Bulk /api/pull or blob reads by a non-local client</t>
  </si>
  <si>
    <t xml:space="preserve">T1030 / AML.T0024</t>
  </si>
  <si>
    <t xml:space="preserve">DET-007</t>
  </si>
  <si>
    <t xml:space="preserve">MCP (all clients)</t>
  </si>
  <si>
    <t xml:space="preserve">MCP Config File Creation or Modification</t>
  </si>
  <si>
    <t xml:space="preserve">Sysmon FileCreate / EDR</t>
  </si>
  <si>
    <t xml:space="preserve">Sysmon EID 11, EID 23/26</t>
  </si>
  <si>
    <t xml:space="preserve">TargetFilename in (claude_desktop_config.json, mcp.json, mcp_config.json, mcp-config.json, .mcp.json)</t>
  </si>
  <si>
    <t xml:space="preserve">T1543 / AML.T0081</t>
  </si>
  <si>
    <t xml:space="preserve">DET-008</t>
  </si>
  <si>
    <t xml:space="preserve">AI Client Spawning Interpreter or LOLBIN</t>
  </si>
  <si>
    <t xml:space="preserve">Process telemetry</t>
  </si>
  <si>
    <t xml:space="preserve">Sysmon EID 1 / Win 4688</t>
  </si>
  <si>
    <t xml:space="preserve">parent in (Claude.exe, Cursor.exe, Code.exe, Windsurf.exe, claude, node) AND child in (cmd.exe, powershell.exe, wscript.exe, mshta.exe, rundll32.exe, regsvr32.exe, certutil.exe, bitsadmin.exe, curl.exe)</t>
  </si>
  <si>
    <t xml:space="preserve">Medium (cmd/pwsh legit for agents)</t>
  </si>
  <si>
    <t xml:space="preserve">T1059 / AML.T0053</t>
  </si>
  <si>
    <t xml:space="preserve">DET-009</t>
  </si>
  <si>
    <t xml:space="preserve">MCP Server Fetching Remote Code at Launch</t>
  </si>
  <si>
    <t xml:space="preserve">Process + network</t>
  </si>
  <si>
    <t xml:space="preserve">Sysmon EID 1 + EID 22</t>
  </si>
  <si>
    <t xml:space="preserve">npx/npm process with @latest in cmdline spawned by an AI client, followed by registry.npmjs.org resolution</t>
  </si>
  <si>
    <t xml:space="preserve">T1195.002</t>
  </si>
  <si>
    <t xml:space="preserve">DET-010</t>
  </si>
  <si>
    <t xml:space="preserve">Playwright MCP / browser agents</t>
  </si>
  <si>
    <t xml:space="preserve">AI Client Driving a Headless Browser</t>
  </si>
  <si>
    <t xml:space="preserve">Sysmon EID 1</t>
  </si>
  <si>
    <t xml:space="preserve">Ancestor chain: AI client -&gt; node/python -&gt; chrome.exe|chromium|headless_shell|msedge with --headless or --remote-debugging-port</t>
  </si>
  <si>
    <t xml:space="preserve">T1185 / AML.T0086</t>
  </si>
  <si>
    <t xml:space="preserve">DET-011</t>
  </si>
  <si>
    <t xml:space="preserve">Browser Session State Serialization</t>
  </si>
  <si>
    <t xml:space="preserve">File telemetry</t>
  </si>
  <si>
    <t xml:space="preserve">Process with playwright in cmdline writing a JSON file, OR cmdline contains --storage-state or --caps=storage</t>
  </si>
  <si>
    <t xml:space="preserve">T1539 / T1552</t>
  </si>
  <si>
    <t xml:space="preserve">DET-012</t>
  </si>
  <si>
    <t xml:space="preserve">All AI agents</t>
  </si>
  <si>
    <t xml:space="preserve">AI Credential File Access by Unexpected Process</t>
  </si>
  <si>
    <t xml:space="preserve">File telemetry / EDR</t>
  </si>
  <si>
    <t xml:space="preserve">Sysmon EID 11, file-read telemetry</t>
  </si>
  <si>
    <t xml:space="preserve">Read of ~/.claude/.credentials.json, ~/.aider/oauth-keys.env, ~/.codeium/*, ~/.continue/config.yaml, OAI_CONFIG_LIST by a process that is NOT the owning agent</t>
  </si>
  <si>
    <t xml:space="preserve">T1552.001 / AML.T0082</t>
  </si>
  <si>
    <t xml:space="preserve">DET-013</t>
  </si>
  <si>
    <t xml:space="preserve">Inference Base URL Redirection</t>
  </si>
  <si>
    <t xml:space="preserve">Registry / env / config</t>
  </si>
  <si>
    <t xml:space="preserve">Sysmon EID 12/13, config file reads</t>
  </si>
  <si>
    <t xml:space="preserve">ANTHROPIC_BASE_URL / OPENAI_BASE_URL / OPENAI_API_BASE set to a non-sanctioned host, in HKCU\Environment or an agent config</t>
  </si>
  <si>
    <t xml:space="preserve">T1071.001 / AML.T0024</t>
  </si>
  <si>
    <t xml:space="preserve">DET-014</t>
  </si>
  <si>
    <t xml:space="preserve">n8n Editor Exposed Without Authentication</t>
  </si>
  <si>
    <t xml:space="preserve">Network / config</t>
  </si>
  <si>
    <t xml:space="preserve">Netflow, config audit</t>
  </si>
  <si>
    <t xml:space="preserve">Listener on 5678 reachable off-host AND N8N_BASIC_AUTH_ACTIVE unset</t>
  </si>
  <si>
    <t xml:space="preserve">T1133</t>
  </si>
  <si>
    <t xml:space="preserve">DET-015</t>
  </si>
  <si>
    <t xml:space="preserve">n8n / Flowise / Dify</t>
  </si>
  <si>
    <t xml:space="preserve">Agentic Workflow Engine Code Node Execution</t>
  </si>
  <si>
    <t xml:space="preserve">node/python child of the workflow engine executing shell or spawning interpreters</t>
  </si>
  <si>
    <t xml:space="preserve">T1059</t>
  </si>
  <si>
    <t xml:space="preserve">DET-016</t>
  </si>
  <si>
    <t xml:space="preserve">Open Interpreter / AutoGen</t>
  </si>
  <si>
    <t xml:space="preserve">Natural-Language Code Executor on Endpoint</t>
  </si>
  <si>
    <t xml:space="preserve">process_name = interpreter OR python cmdline contains open-interpreter|LocalCommandLineCodeExecutor; alert on any shell child</t>
  </si>
  <si>
    <t xml:space="preserve">DET-017</t>
  </si>
  <si>
    <t xml:space="preserve">Gradio Public Tunnel Created</t>
  </si>
  <si>
    <t xml:space="preserve">cmdline contains --share OR DNS resolution of *.gradio.live</t>
  </si>
  <si>
    <t xml:space="preserve">T1572 / T1090</t>
  </si>
  <si>
    <t xml:space="preserve">DET-018</t>
  </si>
  <si>
    <t xml:space="preserve">Anomalous Model Download Volume</t>
  </si>
  <si>
    <t xml:space="preserve">Proxy / netflow</t>
  </si>
  <si>
    <t xml:space="preserve">Netflow, proxy logs</t>
  </si>
  <si>
    <t xml:space="preserve">Single host downloading &gt;5GB from huggingface.co / registry.ollama.ai in 24h</t>
  </si>
  <si>
    <t xml:space="preserve">T1105</t>
  </si>
  <si>
    <t xml:space="preserve">DET-019</t>
  </si>
  <si>
    <t xml:space="preserve">Claude Computer Use / CUA</t>
  </si>
  <si>
    <t xml:space="preserve">High-Volume Image Egress to Inference API</t>
  </si>
  <si>
    <t xml:space="preserve">Proxy logs</t>
  </si>
  <si>
    <t xml:space="preserve">Sustained multipart/image POSTs to api.anthropic.com or api.openai.com at machine cadence (screenshot loop)</t>
  </si>
  <si>
    <t xml:space="preserve">T1113 / AML.T0086</t>
  </si>
  <si>
    <t xml:space="preserve">DET-020</t>
  </si>
  <si>
    <t xml:space="preserve">AI Agent Config in Repo Delta</t>
  </si>
  <si>
    <t xml:space="preserve">SCM / CI</t>
  </si>
  <si>
    <t xml:space="preserve">PR diff, git hooks</t>
  </si>
  <si>
    <t xml:space="preserve">PR or clone introduces .mcp.json, .cursor/mcp.json, .cursorrules, CLAUDE.md, .github/agents/*.agent.md, .continue/rules/*</t>
  </si>
  <si>
    <t xml:space="preserve">T1195 / AML.T0080</t>
  </si>
  <si>
    <t xml:space="preserve">DET-021</t>
  </si>
  <si>
    <t xml:space="preserve">Codeium / Tabnine</t>
  </si>
  <si>
    <t xml:space="preserve">AI Plugin Downloading and Executing Remote Binary</t>
  </si>
  <si>
    <t xml:space="preserve">File + process</t>
  </si>
  <si>
    <t xml:space="preserve">Sysmon EID 11 + EID 1</t>
  </si>
  <si>
    <t xml:space="preserve">Write of an executable to ~/.codeium or ~/.tabnine followed by execution of that path</t>
  </si>
  <si>
    <t xml:space="preserve">T1105 / T1204</t>
  </si>
  <si>
    <t xml:space="preserve">DET-022</t>
  </si>
  <si>
    <t xml:space="preserve">AI Agent Autostart Persistence</t>
  </si>
  <si>
    <t xml:space="preserve">Registry / autoruns</t>
  </si>
  <si>
    <t xml:space="preserve">Sysmon EID 13, Autoruns</t>
  </si>
  <si>
    <t xml:space="preserve">HKCU\...\Run value or LaunchAgent referencing Claude, Ollama, Cursor, LM Studio, or an MCP command</t>
  </si>
  <si>
    <t xml:space="preserve">T1547.001 / AML.T0081</t>
  </si>
  <si>
    <t xml:space="preserve">Technique ID</t>
  </si>
  <si>
    <t xml:space="preserve">Technique Name</t>
  </si>
  <si>
    <t xml:space="preserve">Framework</t>
  </si>
  <si>
    <t xml:space="preserve">Sub-techniques</t>
  </si>
  <si>
    <t xml:space="preserve">LOLAI Application</t>
  </si>
  <si>
    <t xml:space="preserve">Related Detections</t>
  </si>
  <si>
    <t xml:space="preserve">AML.T0051</t>
  </si>
  <si>
    <t xml:space="preserve">LLM Prompt Injection</t>
  </si>
  <si>
    <t xml:space="preserve">MITRE ATLAS</t>
  </si>
  <si>
    <t xml:space="preserve">.000 Direct / .001 Indirect</t>
  </si>
  <si>
    <t xml:space="preserve">Poisoned CLAUDE.md, .cursorrules, .continue/rules, repo README, or tool output steering the agent</t>
  </si>
  <si>
    <t xml:space="preserve">AML.T0053</t>
  </si>
  <si>
    <t xml:space="preserve">AI Agent Tool Invocation</t>
  </si>
  <si>
    <t xml:space="preserve">Renamed from 'LLM Plugin Compromise' (Oct 2025 agentic update)</t>
  </si>
  <si>
    <t xml:space="preserve">Agent invokes MCP tools to execute code, read files, or drive a browser</t>
  </si>
  <si>
    <t xml:space="preserve">DET-008, DET-016</t>
  </si>
  <si>
    <t xml:space="preserve">High - CONFIRMED current name</t>
  </si>
  <si>
    <t xml:space="preserve">AML.T0054</t>
  </si>
  <si>
    <t xml:space="preserve">LLM Jailbreak</t>
  </si>
  <si>
    <t xml:space="preserve">Modelfile SYSTEM prompt override; unauthenticated Ollama accepts any system prompt</t>
  </si>
  <si>
    <t xml:space="preserve">AML.T0080</t>
  </si>
  <si>
    <t xml:space="preserve">AI Agent Context Poisoning</t>
  </si>
  <si>
    <t xml:space="preserve">.000 Memory / .001 Thread</t>
  </si>
  <si>
    <t xml:space="preserve">Persistent instruction files or agent memory poisoned to alter future behavior</t>
  </si>
  <si>
    <t xml:space="preserve">AML.T0081</t>
  </si>
  <si>
    <t xml:space="preserve">Modify AI Agent Configuration</t>
  </si>
  <si>
    <t xml:space="preserve">Tampering with MCP config, base_url, or agent YAML to add capabilities or redirect inference</t>
  </si>
  <si>
    <t xml:space="preserve">DET-007, DET-013, DET-022</t>
  </si>
  <si>
    <t xml:space="preserve">AML.T0082</t>
  </si>
  <si>
    <t xml:space="preserve">RAG Credential Harvesting</t>
  </si>
  <si>
    <t xml:space="preserve">LocalDocs / codebase indexing pulls secrets into model context</t>
  </si>
  <si>
    <t xml:space="preserve">AML.T0086</t>
  </si>
  <si>
    <t xml:space="preserve">Exfiltration via AI Agent Tool Invocation</t>
  </si>
  <si>
    <t xml:space="preserve">Agent uses a browser/file/network tool to move data out</t>
  </si>
  <si>
    <t xml:space="preserve">DET-010, DET-019</t>
  </si>
  <si>
    <t xml:space="preserve">AML.T0024</t>
  </si>
  <si>
    <t xml:space="preserve">Exfiltration via ML Inference API</t>
  </si>
  <si>
    <t xml:space="preserve">Data leaves via prompt payloads to an inference endpoint</t>
  </si>
  <si>
    <t xml:space="preserve">DET-004, DET-006, DET-013</t>
  </si>
  <si>
    <t xml:space="preserve">AML.T0029</t>
  </si>
  <si>
    <t xml:space="preserve">Denial of ML Service</t>
  </si>
  <si>
    <t xml:space="preserve">Resource exhaustion of an exposed local inference server</t>
  </si>
  <si>
    <t xml:space="preserve">Create or Modify System Process</t>
  </si>
  <si>
    <t xml:space="preserve">ATT&amp;CK Enterprise</t>
  </si>
  <si>
    <t xml:space="preserve">Sub: .002 systemd, .003 Windows Service</t>
  </si>
  <si>
    <t xml:space="preserve">Local LLM runtime installed as a service/daemon</t>
  </si>
  <si>
    <t xml:space="preserve">DET-001, DET-003, DET-007</t>
  </si>
  <si>
    <t xml:space="preserve">T1547.001</t>
  </si>
  <si>
    <t xml:space="preserve">Registry Run Keys / Startup Folder</t>
  </si>
  <si>
    <t xml:space="preserve">AI client autostart that in turn launches all configured MCP servers</t>
  </si>
  <si>
    <t xml:space="preserve">Command and Scripting Interpreter</t>
  </si>
  <si>
    <t xml:space="preserve">.001 PowerShell, .003 Windows CMD, .004 Unix Shell, .006 Python</t>
  </si>
  <si>
    <t xml:space="preserve">Agent-spawned shells; Open Interpreter; AutoGen local executor; n8n Code node</t>
  </si>
  <si>
    <t xml:space="preserve">DET-008, DET-015, DET-016</t>
  </si>
  <si>
    <t xml:space="preserve">T1552.001</t>
  </si>
  <si>
    <t xml:space="preserve">Unsecured Credentials: Credentials In Files</t>
  </si>
  <si>
    <t xml:space="preserve">Plaintext keys in ~/.aider/oauth-keys.env, OAI_CONFIG_LIST, .env, MCP env blocks</t>
  </si>
  <si>
    <t xml:space="preserve">T1539</t>
  </si>
  <si>
    <t xml:space="preserve">Steal Web Session Cookie</t>
  </si>
  <si>
    <t xml:space="preserve">Playwright MCP --storage-state / --caps=storage cookie access</t>
  </si>
  <si>
    <t xml:space="preserve">T1185</t>
  </si>
  <si>
    <t xml:space="preserve">Browser Session Hijacking</t>
  </si>
  <si>
    <t xml:space="preserve">Browser agents driving an authenticated, logged-in profile</t>
  </si>
  <si>
    <t xml:space="preserve">T1071.001</t>
  </si>
  <si>
    <t xml:space="preserve">Application Layer Protocol: Web Protocols</t>
  </si>
  <si>
    <t xml:space="preserve">C2 or exfil disguised as normal HTTPS traffic to an inference API</t>
  </si>
  <si>
    <t xml:space="preserve">DET-013, DET-019</t>
  </si>
  <si>
    <t xml:space="preserve">Supply Chain Compromise: Software Dependencies</t>
  </si>
  <si>
    <t xml:space="preserve">Malicious MCP server via npx @latest; poisoned npm/PyPI agent packages (e.g. Mastra npm incident)</t>
  </si>
  <si>
    <t xml:space="preserve">DET-009, DET-020</t>
  </si>
  <si>
    <t xml:space="preserve">Gather Victim Network Information</t>
  </si>
  <si>
    <t xml:space="preserve">Model-repository DNS reconnaissance mapping (Splunk STRT pivot)</t>
  </si>
  <si>
    <t xml:space="preserve">External Remote Services</t>
  </si>
  <si>
    <t xml:space="preserve">Internet-exposed Ollama/n8n/Flowise as an unauthenticated entry point</t>
  </si>
  <si>
    <t xml:space="preserve">DET-004, DET-014</t>
  </si>
  <si>
    <t xml:space="preserve">T1572</t>
  </si>
  <si>
    <t xml:space="preserve">Protocol Tunneling</t>
  </si>
  <si>
    <t xml:space="preserve">Gradio --share public tunnel to the host</t>
  </si>
  <si>
    <t xml:space="preserve">T1113</t>
  </si>
  <si>
    <t xml:space="preserve">Screen Capture</t>
  </si>
  <si>
    <t xml:space="preserve">Computer-use agent screenshot loop</t>
  </si>
  <si>
    <t xml:space="preserve">T1046</t>
  </si>
  <si>
    <t xml:space="preserve">Network Service Discovery</t>
  </si>
  <si>
    <t xml:space="preserve">Internet-wide scanning for 11434 / 1234 / 8000 / 5678</t>
  </si>
  <si>
    <t xml:space="preserve">Ingress Tool Transfer</t>
  </si>
  <si>
    <t xml:space="preserve">Multi-GB model blobs and downloaded agent binaries</t>
  </si>
  <si>
    <t xml:space="preserve">DET-018, DET-021</t>
  </si>
  <si>
    <t xml:space="preserve">T1030</t>
  </si>
  <si>
    <t xml:space="preserve">Data Transfer Size Limits</t>
  </si>
  <si>
    <t xml:space="preserve">Chunked model/data pulls from an exposed runtime</t>
  </si>
  <si>
    <t xml:space="preserve">AML.T0110</t>
  </si>
  <si>
    <t xml:space="preserve">AI Agent Tool Poisoning</t>
  </si>
  <si>
    <t xml:space="preserve">Malicious instructions embedded in MCP tool metadata that the model reads as directives</t>
  </si>
  <si>
    <t xml:space="preserve">DET-007, DET-009</t>
  </si>
  <si>
    <t xml:space="preserve">AML.T0085</t>
  </si>
  <si>
    <t xml:space="preserve">AI Agent Tools</t>
  </si>
  <si>
    <t xml:space="preserve">.001</t>
  </si>
  <si>
    <t xml:space="preserve">Enumeration and abuse of the tool surface exposed to an agent</t>
  </si>
  <si>
    <t xml:space="preserve">AML.T0099</t>
  </si>
  <si>
    <t xml:space="preserve">AI Agent Tool Data Poisoning</t>
  </si>
  <si>
    <t xml:space="preserve">Poisoning the data an agent tool returns, steering downstream decisions</t>
  </si>
  <si>
    <t xml:space="preserve">AML.T0101</t>
  </si>
  <si>
    <t xml:space="preserve">Data Destruction via AI Agent Tool Invocation</t>
  </si>
  <si>
    <t xml:space="preserve">Destructive filesystem or repo operations performed through an agent tool</t>
  </si>
  <si>
    <t xml:space="preserve">AML.T0093</t>
  </si>
  <si>
    <t xml:space="preserve">Prompt Infiltration via Public-Facing Application</t>
  </si>
  <si>
    <t xml:space="preserve">Injection reaching the agent through a public-facing app surface</t>
  </si>
  <si>
    <t xml:space="preserve">AML.TA0015</t>
  </si>
  <si>
    <t xml:space="preserve">Command and Control (tactic)</t>
  </si>
  <si>
    <t xml:space="preserve">Tactic, added v5.1.0 Nov 2025</t>
  </si>
  <si>
    <t xml:space="preserve">16th ATLAS tactic; agentic C2 now has first-class taxonomy coverage</t>
  </si>
  <si>
    <t xml:space="preserve">TI ID</t>
  </si>
  <si>
    <t xml:space="preserve">Date</t>
  </si>
  <si>
    <t xml:space="preserve">Campaign / Finding</t>
  </si>
  <si>
    <t xml:space="preserve">Tooling Abused</t>
  </si>
  <si>
    <t xml:space="preserve">Source</t>
  </si>
  <si>
    <t xml:space="preserve">Summary</t>
  </si>
  <si>
    <t xml:space="preserve">Why It Matters for DFIR</t>
  </si>
  <si>
    <t xml:space="preserve">TI-001</t>
  </si>
  <si>
    <t xml:space="preserve">2025-08-27</t>
  </si>
  <si>
    <t xml:space="preserve">GTG-2002 'Vibe Hacking' Extortion Campaign</t>
  </si>
  <si>
    <t xml:space="preserve">Anthropic Threat Intelligence Report (Moix, Lebedev, Klein)</t>
  </si>
  <si>
    <t xml:space="preserve">Threat actor used Claude Code to automate reconnaissance, credential harvesting, and network penetration at scale, then extortion, against AT LEAST 17 distinct organizations across government, healthcare, emergency services, and religious institutions. Bitcoin ransom demands ranged from $75,000 to over $500,000.</t>
  </si>
  <si>
    <t xml:space="preserve">First large-scale documented case of an AI coding agent operating as the primary offensive tool across the full kill chain.</t>
  </si>
  <si>
    <t xml:space="preserve">Confirmed - vendor first-party</t>
  </si>
  <si>
    <t xml:space="preserve">TI-002</t>
  </si>
  <si>
    <t xml:space="preserve">Chinese Actor vs. Vietnamese Critical Infrastructure</t>
  </si>
  <si>
    <t xml:space="preserve">Anthropic Threat Intelligence Report</t>
  </si>
  <si>
    <t xml:space="preserve">Actor used Claude across 12 of 14 MITRE ATT&amp;CK tactics in operations against Vietnamese critical infrastructure.</t>
  </si>
  <si>
    <t xml:space="preserve">Demonstrates near-full-kill-chain AI assistance by a state-nexus actor.</t>
  </si>
  <si>
    <t xml:space="preserve">TI-003</t>
  </si>
  <si>
    <t xml:space="preserve">DPRK IT-Worker Employment Fraud</t>
  </si>
  <si>
    <t xml:space="preserve">North Korean operatives used Claude to build and maintain fraudulent employment personas and pass technical interviews.</t>
  </si>
  <si>
    <t xml:space="preserve">Insider-threat vector: the AI-assisted 'employee' is the initial access.</t>
  </si>
  <si>
    <t xml:space="preserve">TI-004</t>
  </si>
  <si>
    <t xml:space="preserve">No-Code Ransomware-as-a-Service</t>
  </si>
  <si>
    <t xml:space="preserve">Actor with limited technical skill used Claude to develop and sell ransomware variants.</t>
  </si>
  <si>
    <t xml:space="preserve">Lowers the skill floor for ransomware development.</t>
  </si>
  <si>
    <t xml:space="preserve">TI-005</t>
  </si>
  <si>
    <t xml:space="preserve">MCP Used for Stealer-Log Analysis</t>
  </si>
  <si>
    <t xml:space="preserve">MCP</t>
  </si>
  <si>
    <t xml:space="preserve">Threat actor used Model Context Protocol tooling to analyze stealer logs and profile victims at scale.</t>
  </si>
  <si>
    <t xml:space="preserve">MCP is being used operationally for victim triage - MCP artifacts are now IR-relevant.</t>
  </si>
  <si>
    <t xml:space="preserve">TI-006</t>
  </si>
  <si>
    <t xml:space="preserve">2025/2026</t>
  </si>
  <si>
    <t xml:space="preserve">AI-Orchestrated Espionage Framework</t>
  </si>
  <si>
    <t xml:space="preserve">Anthropic disclosure</t>
  </si>
  <si>
    <t xml:space="preserve">A framework used Claude to perform reconnaissance, write and test its own exploit code, harvest credentials, create backdoors, and exfiltrate data with MINIMAL HUMAN SUPERVISION.</t>
  </si>
  <si>
    <t xml:space="preserve">Escalation beyond human-in-the-loop: the agent is the operator, not the assistant.</t>
  </si>
  <si>
    <t xml:space="preserve">TI-007</t>
  </si>
  <si>
    <t xml:space="preserve">2026-01</t>
  </si>
  <si>
    <t xml:space="preserve">Mass Exposure of Ollama Servers</t>
  </si>
  <si>
    <t xml:space="preserve">SentinelLABS + Censys joint investigation</t>
  </si>
  <si>
    <t xml:space="preserve">Approximately 175,000 exposed Ollama hosts across 130 countries and 4,032 ASNs (~7.23 million observations over 293 days). Over 30% located in China. NEARLY HALF of observed hosts were configured with tool-calling capabilities.</t>
  </si>
  <si>
    <t xml:space="preserve">Tool-calling on an unauthenticated host = remote agentic execution surface, not just free inference.</t>
  </si>
  <si>
    <t xml:space="preserve">Confirmed - third-party scan data</t>
  </si>
  <si>
    <t xml:space="preserve">TI-008</t>
  </si>
  <si>
    <t xml:space="preserve">2026</t>
  </si>
  <si>
    <t xml:space="preserve">Operation Bizarre Bazaar (LLMjacking Marketplace)</t>
  </si>
  <si>
    <t xml:space="preserve">Ollama, vLLM, MCP</t>
  </si>
  <si>
    <t xml:space="preserve">Pillar Security</t>
  </si>
  <si>
    <t xml:space="preserve">Campaign scanning for exposed Ollama (11434), vLLM (8000), and MCP endpoints, reselling hijacked inference capacity.</t>
  </si>
  <si>
    <t xml:space="preserve">Establishes a commercial market for stolen local inference - raises scan volume against these ports.</t>
  </si>
  <si>
    <t xml:space="preserve">Reported - third-party</t>
  </si>
  <si>
    <t xml:space="preserve">TI-009</t>
  </si>
  <si>
    <t xml:space="preserve">2026-02-24</t>
  </si>
  <si>
    <t xml:space="preserve">CrowdStrike 2026 Global Threat Report</t>
  </si>
  <si>
    <t xml:space="preserve">GenAI tools (multiple)</t>
  </si>
  <si>
    <t xml:space="preserve">CrowdStrike</t>
  </si>
  <si>
    <t xml:space="preserve">Adversaries exploited legitimate GenAI tools at MORE THAN 90 ORGANIZATIONS by injecting malicious prompts to generate commands for stealing credentials and cryptocurrency. AI-enabled adversary operations increased 89% YEAR-OVER-YEAR. Average eCrime breakout time fell to 29 MINUTES (fastest observed: 27 seconds). 82% of 2025 detections were malware-free.</t>
  </si>
  <si>
    <t xml:space="preserve">Prompt injection against SANCTIONED tools is now a mainstream initial-access technique. 29-minute breakout means AI-abuse detections must be near-real-time.</t>
  </si>
  <si>
    <t xml:space="preserve">Confirmed - vendor report</t>
  </si>
  <si>
    <t xml:space="preserve">TI-010</t>
  </si>
  <si>
    <t xml:space="preserve">CrowdStrike 2026 Threat Hunting Report</t>
  </si>
  <si>
    <t xml:space="preserve">AI agents (multiple)</t>
  </si>
  <si>
    <t xml:space="preserve">AI agent-triggered detection leads grew at 2.5x the rate of human-triggered leads. DPRK-nexus STARDUST CHOLLIMA injected a malicious npm package into 131 Mastra AI frameworks. One campaign sent nearly 200,000 AI model requests in two minutes.</t>
  </si>
  <si>
    <t xml:space="preserve">Agent-driven activity is now a majority-growth share of detections; AI framework supply chain is an active DPRK target.</t>
  </si>
  <si>
    <t xml:space="preserve">TI-011</t>
  </si>
  <si>
    <t xml:space="preserve">MCP Marketplace Malicious Agents</t>
  </si>
  <si>
    <t xml:space="preserve">MCP servers</t>
  </si>
  <si>
    <t xml:space="preserve">Independent audit (256 marketplace agents)</t>
  </si>
  <si>
    <t xml:space="preserve">Audit found MCP marketplace agents wired to invoke LOLBAS chains - downloading remote payloads through signed Microsoft binaries and executing them without writing to disk.</t>
  </si>
  <si>
    <t xml:space="preserve">The MCP config's command/args field is itself the malware carrier. Directly ties LOLAI to LOLBAS.</t>
  </si>
  <si>
    <t xml:space="preserve">TI-012</t>
  </si>
  <si>
    <t xml:space="preserve">2025-10</t>
  </si>
  <si>
    <t xml:space="preserve">MITRE ATLAS Agentic Techniques Release</t>
  </si>
  <si>
    <t xml:space="preserve">AI agents (framework)</t>
  </si>
  <si>
    <t xml:space="preserve">Zenity Labs + MITRE ATLAS</t>
  </si>
  <si>
    <t xml:space="preserve">Collaboration incorporated the first 14 agent-focused techniques and sub-techniques. ATLAS v5.1.0 (Nov 2025) reached 16 tactics, 84 techniques, 56 sub-techniques.</t>
  </si>
  <si>
    <t xml:space="preserve">Formal taxonomy now exists for agent abuse - use it for detection mapping and reporting.</t>
  </si>
  <si>
    <t xml:space="preserve">Confirmed - first-party</t>
  </si>
  <si>
    <t xml:space="preserve">TI-013</t>
  </si>
  <si>
    <t xml:space="preserve">CrowdStrike Shadow AI Discovery for Endpoint (GA)</t>
  </si>
  <si>
    <t xml:space="preserve">Product automatically discovers AI applications, agents, LLM runtimes, MCP servers, and development tools running across endpoints. AIDR for Endpoint adds prompt-layer inspection for ChatGPT, Gemini, Claude, DeepSeek, Microsoft/O365/GitHub Copilot, and Cursor.</t>
  </si>
  <si>
    <t xml:space="preserve">First major EDR vendor to productize AI agent endpoint discovery - validates this artifact class.</t>
  </si>
  <si>
    <t xml:space="preserve">Confirmed - vendor</t>
  </si>
  <si>
    <t xml:space="preserve">TI-014</t>
  </si>
  <si>
    <t xml:space="preserve">2025-10-05 / 2026-05-13</t>
  </si>
  <si>
    <t xml:space="preserve">Splunk STRT ESCU Analytic Stories</t>
  </si>
  <si>
    <t xml:space="preserve">Local LLM runtimes, Ollama, MCP</t>
  </si>
  <si>
    <t xml:space="preserve">Splunk Threat Research Team (Rod Soto)</t>
  </si>
  <si>
    <t xml:space="preserve">Three published analytic stories: 'Suspicious Local LLM Frameworks' (3 hunting analytics), 'Suspicious Ollama Activities' (8 detections + dedicated TA-Ollama add-on), and 'Suspicious MCP Activities'.</t>
  </si>
  <si>
    <t xml:space="preserve">Ready-to-deploy SPL exists today - fastest path to coverage for Splunk shops.</t>
  </si>
  <si>
    <t xml:space="preserve">AI AGENT ARTIFACT CATALOG - SUMMARY DASHBOARD</t>
  </si>
  <si>
    <t xml:space="preserve">All figures are live formulas over the 02_Master_Inventory tab. Add rows there and these update.</t>
  </si>
  <si>
    <t xml:space="preserve">COVERAGE</t>
  </si>
  <si>
    <t xml:space="preserve">Total tools catalogued</t>
  </si>
  <si>
    <t xml:space="preserve">Distinct artifact paths</t>
  </si>
  <si>
    <t xml:space="preserve">Registry artifacts</t>
  </si>
  <si>
    <t xml:space="preserve">Network indicators</t>
  </si>
  <si>
    <t xml:space="preserve">Process / service entries</t>
  </si>
  <si>
    <t xml:space="preserve">MCP config locations</t>
  </si>
  <si>
    <t xml:space="preserve">Detection candidates</t>
  </si>
  <si>
    <t xml:space="preserve">MITRE techniques mapped</t>
  </si>
  <si>
    <t xml:space="preserve">Threat-intel entries</t>
  </si>
  <si>
    <t xml:space="preserve">RISK DISTRIBUTION</t>
  </si>
  <si>
    <t xml:space="preserve">CAPABILITY EXPOSURE</t>
  </si>
  <si>
    <t xml:space="preserve">Tools with local code execution</t>
  </si>
  <si>
    <t xml:space="preserve">  ...of which partial / tool-gated</t>
  </si>
  <si>
    <t xml:space="preserve">Tools opening a local listener</t>
  </si>
  <si>
    <t xml:space="preserve">Tools storing plaintext credentials</t>
  </si>
  <si>
    <t xml:space="preserve">MCP-capable tools</t>
  </si>
  <si>
    <t xml:space="preserve">SOURCING CONFIDENCE</t>
  </si>
  <si>
    <t xml:space="preserve">High confidence entries</t>
  </si>
  <si>
    <t xml:space="preserve">Medium confidence entries</t>
  </si>
  <si>
    <t xml:space="preserve">Low confidence - VALIDATE LOCALLY</t>
  </si>
  <si>
    <t xml:space="preserve">Assumption: counts are driven off the Master Inventory tab; 'listener' and 'MCP capable' counts treat any value other than 'No' as present.</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</si>
</sst>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0"/>
      <name val="Arial"/>
      <family val="0"/>
      <charset val="1"/>
    </font>
    <font>
      <i val="true"/>
      <sz val="12"/>
      <color rgb="FF2F4F6F"/>
      <name val="Arial"/>
      <family val="0"/>
      <charset val="1"/>
    </font>
    <font>
      <b val="true"/>
      <sz val="10"/>
      <color rgb="FFFFFFFF"/>
      <name val="Arial"/>
      <family val="0"/>
      <charset val="1"/>
    </font>
    <font>
      <sz val="9"/>
      <name val="Arial"/>
      <family val="0"/>
      <charset val="1"/>
    </font>
    <font>
      <sz val="9"/>
      <name val="Consolas"/>
      <family val="0"/>
      <charset val="1"/>
    </font>
    <font>
      <b val="true"/>
      <sz val="12"/>
      <color rgb="FF1F3864"/>
      <name val="Arial"/>
      <family val="0"/>
      <charset val="1"/>
    </font>
    <font>
      <b val="true"/>
      <sz val="9"/>
      <color rgb="FFFFFFFF"/>
      <name val="Arial"/>
      <family val="0"/>
      <charset val="1"/>
    </font>
    <font>
      <sz val="9"/>
      <color rgb="FF000000"/>
      <name val="Arial"/>
      <family val="0"/>
      <charset val="1"/>
    </font>
    <font>
      <b val="true"/>
      <sz val="16"/>
      <color rgb="FF1F3864"/>
      <name val="Arial"/>
      <family val="0"/>
      <charset val="1"/>
    </font>
    <font>
      <i val="true"/>
      <sz val="9"/>
      <color rgb="FF2F4F6F"/>
      <name val="Arial"/>
      <family val="0"/>
      <charset val="1"/>
    </font>
    <font>
      <b val="true"/>
      <sz val="11"/>
      <color rgb="FFFFFFFF"/>
      <name val="Arial"/>
      <family val="0"/>
      <charset val="1"/>
    </font>
    <font>
      <b val="true"/>
      <sz val="10"/>
      <name val="Arial"/>
      <family val="0"/>
      <charset val="1"/>
    </font>
    <font>
      <i val="true"/>
      <sz val="8"/>
      <color rgb="FF808080"/>
      <name val="Arial"/>
      <family val="0"/>
      <charset val="1"/>
    </font>
  </fonts>
  <fills count="5">
    <fill>
      <patternFill patternType="none"/>
    </fill>
    <fill>
      <patternFill patternType="gray125"/>
    </fill>
    <fill>
      <patternFill patternType="solid">
        <fgColor rgb="FF2F4F6F"/>
        <bgColor rgb="FF1F3864"/>
      </patternFill>
    </fill>
    <fill>
      <patternFill patternType="solid">
        <fgColor rgb="FF1F3864"/>
        <bgColor rgb="FF2F4F6F"/>
      </patternFill>
    </fill>
    <fill>
      <patternFill patternType="solid">
        <fgColor rgb="FFF2F5F9"/>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top"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bgColor rgb="FF000000"/>
        </patternFill>
      </fill>
    </dxf>
    <dxf>
      <fill>
        <patternFill patternType="solid">
          <fgColor rgb="FFF2F5F9"/>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FF2CC"/>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9C0006"/>
          <bgColor rgb="FF000000"/>
        </patternFill>
      </fill>
    </dxf>
    <dxf>
      <fill>
        <patternFill patternType="solid">
          <fgColor rgb="FF9C6500"/>
          <bgColor rgb="FF000000"/>
        </patternFill>
      </fill>
    </dxf>
    <dxf>
      <font>
        <name val="Arial"/>
        <charset val="1"/>
        <family val="0"/>
        <b val="1"/>
        <color rgb="FF9C0006"/>
        <sz val="9"/>
      </font>
      <fill>
        <patternFill>
          <bgColor rgb="FFFFC7CE"/>
        </patternFill>
      </fill>
    </dxf>
    <dxf>
      <font>
        <name val="Arial"/>
        <charset val="1"/>
        <family val="0"/>
        <color rgb="FF9C6500"/>
        <sz val="9"/>
      </font>
      <fill>
        <patternFill>
          <bgColor rgb="FFFFEB9C"/>
        </patternFill>
      </fill>
    </dxf>
    <dxf>
      <font>
        <name val="Arial"/>
        <charset val="1"/>
        <family val="0"/>
        <color rgb="FF7F6000"/>
        <sz val="9"/>
      </font>
      <fill>
        <patternFill>
          <bgColor rgb="FFFFF2CC"/>
        </patternFill>
      </fill>
    </dxf>
    <dxf>
      <font>
        <name val="Arial"/>
        <charset val="1"/>
        <family val="0"/>
        <color rgb="FF375623"/>
        <sz val="9"/>
      </font>
      <fill>
        <patternFill>
          <bgColor rgb="FFE2EFDA"/>
        </patternFill>
      </fill>
    </dxf>
    <dxf>
      <font>
        <name val="Arial"/>
        <charset val="1"/>
        <family val="0"/>
        <b val="1"/>
        <color rgb="FF375623"/>
        <sz val="9"/>
      </font>
      <fill>
        <patternFill>
          <bgColor rgb="FFE2EFDA"/>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F2F5F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6500"/>
      <rgbColor rgb="FF993366"/>
      <rgbColor rgb="FF2F4F6F"/>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C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62"/>
  </cols>
  <sheetData>
    <row r="1" customFormat="false" ht="25.5" hidden="false" customHeight="true" outlineLevel="0" collapsed="false">
      <c r="A1" s="1" t="s">
        <v>0</v>
      </c>
      <c r="B1" s="2"/>
      <c r="C1" s="2"/>
    </row>
    <row r="2" customFormat="false" ht="15" hidden="false" customHeight="true" outlineLevel="0" collapsed="false">
      <c r="A2" s="3" t="s">
        <v>1</v>
      </c>
      <c r="B2" s="2"/>
      <c r="C2" s="2"/>
    </row>
    <row r="3" customFormat="false" ht="15" hidden="false" customHeight="true" outlineLevel="0" collapsed="false">
      <c r="A3" s="2"/>
      <c r="B3" s="2"/>
      <c r="C3" s="2"/>
    </row>
    <row r="4" customFormat="false" ht="15" hidden="false" customHeight="true" outlineLevel="0" collapsed="false">
      <c r="A4" s="4" t="s">
        <v>2</v>
      </c>
      <c r="B4" s="4" t="s">
        <v>3</v>
      </c>
      <c r="C4" s="4" t="s">
        <v>4</v>
      </c>
    </row>
    <row r="5" customFormat="false" ht="15" hidden="false" customHeight="true" outlineLevel="0" collapsed="false">
      <c r="A5" s="2" t="s">
        <v>5</v>
      </c>
      <c r="B5" s="2" t="s">
        <v>6</v>
      </c>
      <c r="C5" s="2" t="s">
        <v>7</v>
      </c>
    </row>
    <row r="6" customFormat="false" ht="15" hidden="false" customHeight="true" outlineLevel="0" collapsed="false">
      <c r="A6" s="2" t="s">
        <v>8</v>
      </c>
      <c r="B6" s="2" t="s">
        <v>9</v>
      </c>
      <c r="C6" s="2" t="s">
        <v>10</v>
      </c>
    </row>
    <row r="7" customFormat="false" ht="15" hidden="false" customHeight="true" outlineLevel="0" collapsed="false">
      <c r="A7" s="2" t="s">
        <v>11</v>
      </c>
      <c r="B7" s="2" t="s">
        <v>12</v>
      </c>
      <c r="C7" s="2" t="s">
        <v>13</v>
      </c>
    </row>
    <row r="8" customFormat="false" ht="15" hidden="false" customHeight="true" outlineLevel="0" collapsed="false">
      <c r="A8" s="2" t="s">
        <v>14</v>
      </c>
      <c r="B8" s="2" t="s">
        <v>15</v>
      </c>
      <c r="C8" s="2" t="s">
        <v>16</v>
      </c>
    </row>
    <row r="9" customFormat="false" ht="15" hidden="false" customHeight="true" outlineLevel="0" collapsed="false">
      <c r="A9" s="2" t="s">
        <v>17</v>
      </c>
      <c r="B9" s="2" t="s">
        <v>18</v>
      </c>
      <c r="C9" s="2"/>
    </row>
    <row r="10" customFormat="false" ht="15" hidden="false" customHeight="true" outlineLevel="0" collapsed="false">
      <c r="A10" s="2" t="s">
        <v>19</v>
      </c>
      <c r="B10" s="2" t="s">
        <v>20</v>
      </c>
      <c r="C10" s="2"/>
    </row>
    <row r="11" customFormat="false" ht="15" hidden="false" customHeight="true" outlineLevel="0" collapsed="false">
      <c r="A11" s="2"/>
      <c r="B11" s="2"/>
      <c r="C11" s="2"/>
    </row>
    <row r="12" customFormat="false" ht="15" hidden="false" customHeight="true" outlineLevel="0" collapsed="false">
      <c r="A12" s="4" t="s">
        <v>21</v>
      </c>
      <c r="B12" s="4"/>
      <c r="C12" s="4"/>
    </row>
    <row r="13" customFormat="false" ht="15" hidden="false" customHeight="true" outlineLevel="0" collapsed="false">
      <c r="A13" s="4" t="s">
        <v>22</v>
      </c>
      <c r="B13" s="4" t="s">
        <v>23</v>
      </c>
      <c r="C13" s="4" t="s">
        <v>24</v>
      </c>
    </row>
    <row r="14" customFormat="false" ht="15" hidden="false" customHeight="true" outlineLevel="0" collapsed="false">
      <c r="A14" s="2" t="s">
        <v>25</v>
      </c>
      <c r="B14" s="2" t="s">
        <v>26</v>
      </c>
      <c r="C14" s="2" t="s">
        <v>27</v>
      </c>
    </row>
    <row r="15" customFormat="false" ht="15" hidden="false" customHeight="true" outlineLevel="0" collapsed="false">
      <c r="A15" s="2" t="s">
        <v>28</v>
      </c>
      <c r="B15" s="2" t="s">
        <v>29</v>
      </c>
      <c r="C15" s="2" t="s">
        <v>30</v>
      </c>
    </row>
    <row r="16" customFormat="false" ht="15" hidden="false" customHeight="true" outlineLevel="0" collapsed="false">
      <c r="A16" s="2" t="s">
        <v>31</v>
      </c>
      <c r="B16" s="2" t="s">
        <v>32</v>
      </c>
      <c r="C16" s="2" t="s">
        <v>33</v>
      </c>
    </row>
    <row r="17" customFormat="false" ht="15" hidden="false" customHeight="true" outlineLevel="0" collapsed="false">
      <c r="A17" s="2" t="s">
        <v>34</v>
      </c>
      <c r="B17" s="2" t="s">
        <v>32</v>
      </c>
      <c r="C17" s="2" t="s">
        <v>35</v>
      </c>
    </row>
    <row r="18" customFormat="false" ht="15" hidden="false" customHeight="true" outlineLevel="0" collapsed="false">
      <c r="A18" s="2" t="s">
        <v>36</v>
      </c>
      <c r="B18" s="2" t="s">
        <v>32</v>
      </c>
      <c r="C18" s="2" t="s">
        <v>37</v>
      </c>
    </row>
    <row r="19" customFormat="false" ht="15" hidden="false" customHeight="true" outlineLevel="0" collapsed="false">
      <c r="A19" s="2" t="s">
        <v>38</v>
      </c>
      <c r="B19" s="2" t="s">
        <v>32</v>
      </c>
      <c r="C19" s="2" t="s">
        <v>39</v>
      </c>
    </row>
    <row r="20" customFormat="false" ht="15" hidden="false" customHeight="true" outlineLevel="0" collapsed="false">
      <c r="A20" s="2" t="s">
        <v>40</v>
      </c>
      <c r="B20" s="2" t="s">
        <v>32</v>
      </c>
      <c r="C20" s="2" t="s">
        <v>41</v>
      </c>
    </row>
    <row r="21" customFormat="false" ht="15" hidden="false" customHeight="true" outlineLevel="0" collapsed="false">
      <c r="A21" s="2" t="s">
        <v>42</v>
      </c>
      <c r="B21" s="2" t="s">
        <v>43</v>
      </c>
      <c r="C21" s="2" t="s">
        <v>44</v>
      </c>
    </row>
    <row r="22" customFormat="false" ht="15" hidden="false" customHeight="true" outlineLevel="0" collapsed="false">
      <c r="A22" s="2" t="s">
        <v>45</v>
      </c>
      <c r="B22" s="2" t="s">
        <v>46</v>
      </c>
      <c r="C22" s="2" t="s">
        <v>32</v>
      </c>
    </row>
    <row r="23" customFormat="false" ht="15" hidden="false" customHeight="true" outlineLevel="0" collapsed="false">
      <c r="A23" s="2" t="s">
        <v>47</v>
      </c>
      <c r="B23" s="2" t="s">
        <v>32</v>
      </c>
      <c r="C23" s="2" t="s">
        <v>48</v>
      </c>
    </row>
    <row r="24" customFormat="false" ht="15" hidden="false" customHeight="true" outlineLevel="0" collapsed="false">
      <c r="A24" s="2" t="s">
        <v>49</v>
      </c>
      <c r="B24" s="2" t="s">
        <v>50</v>
      </c>
      <c r="C24" s="2" t="s">
        <v>51</v>
      </c>
    </row>
    <row r="25" customFormat="false" ht="15" hidden="false" customHeight="true" outlineLevel="0" collapsed="false">
      <c r="A25" s="2"/>
      <c r="B25" s="2"/>
      <c r="C25" s="2"/>
    </row>
    <row r="26" customFormat="false" ht="15" hidden="false" customHeight="true" outlineLevel="0" collapsed="false">
      <c r="A26" s="4" t="s">
        <v>52</v>
      </c>
      <c r="B26" s="4"/>
      <c r="C26" s="4"/>
    </row>
    <row r="27" customFormat="false" ht="15" hidden="false" customHeight="true" outlineLevel="0" collapsed="false">
      <c r="A27" s="4" t="s">
        <v>53</v>
      </c>
      <c r="B27" s="4" t="s">
        <v>54</v>
      </c>
      <c r="C27" s="4" t="s">
        <v>55</v>
      </c>
    </row>
    <row r="28" customFormat="false" ht="30" hidden="false" customHeight="true" outlineLevel="0" collapsed="false">
      <c r="A28" s="2" t="s">
        <v>56</v>
      </c>
      <c r="B28" s="2" t="s">
        <v>57</v>
      </c>
      <c r="C28" s="2" t="s">
        <v>58</v>
      </c>
    </row>
    <row r="29" customFormat="false" ht="30" hidden="false" customHeight="true" outlineLevel="0" collapsed="false">
      <c r="A29" s="2" t="s">
        <v>59</v>
      </c>
      <c r="B29" s="2" t="s">
        <v>60</v>
      </c>
      <c r="C29" s="2" t="s">
        <v>61</v>
      </c>
    </row>
    <row r="30" customFormat="false" ht="30" hidden="false" customHeight="true" outlineLevel="0" collapsed="false">
      <c r="A30" s="2" t="s">
        <v>62</v>
      </c>
      <c r="B30" s="2" t="s">
        <v>63</v>
      </c>
      <c r="C30" s="2" t="s">
        <v>64</v>
      </c>
    </row>
    <row r="31" customFormat="false" ht="30" hidden="false" customHeight="true" outlineLevel="0" collapsed="false">
      <c r="A31" s="2" t="s">
        <v>65</v>
      </c>
      <c r="B31" s="2" t="s">
        <v>66</v>
      </c>
      <c r="C31" s="2" t="s">
        <v>67</v>
      </c>
    </row>
    <row r="32" customFormat="false" ht="15" hidden="false" customHeight="true" outlineLevel="0" collapsed="false">
      <c r="A32" s="2"/>
      <c r="B32" s="2"/>
      <c r="C32" s="2"/>
    </row>
    <row r="33" customFormat="false" ht="15" hidden="false" customHeight="true" outlineLevel="0" collapsed="false">
      <c r="A33" s="2" t="s">
        <v>68</v>
      </c>
      <c r="B33" s="2"/>
      <c r="C33" s="2"/>
    </row>
    <row r="34" customFormat="false" ht="15" hidden="false" customHeight="true" outlineLevel="0" collapsed="false">
      <c r="A34" s="4" t="s">
        <v>69</v>
      </c>
      <c r="B34" s="4" t="s">
        <v>54</v>
      </c>
      <c r="C34" s="4"/>
    </row>
    <row r="35" customFormat="false" ht="15" hidden="false" customHeight="true" outlineLevel="0" collapsed="false">
      <c r="A35" s="4" t="s">
        <v>59</v>
      </c>
      <c r="B35" s="4" t="s">
        <v>70</v>
      </c>
      <c r="C35" s="4"/>
    </row>
    <row r="36" customFormat="false" ht="15" hidden="false" customHeight="true" outlineLevel="0" collapsed="false">
      <c r="A36" s="2" t="s">
        <v>62</v>
      </c>
      <c r="B36" s="2" t="s">
        <v>71</v>
      </c>
      <c r="C36" s="2"/>
    </row>
    <row r="37" customFormat="false" ht="15" hidden="false" customHeight="true" outlineLevel="0" collapsed="false">
      <c r="A37" s="2" t="s">
        <v>65</v>
      </c>
      <c r="B37" s="2" t="s">
        <v>72</v>
      </c>
      <c r="C37" s="2"/>
    </row>
    <row r="38" customFormat="false" ht="15" hidden="false" customHeight="true" outlineLevel="0" collapsed="false">
      <c r="A38" s="2"/>
      <c r="B38" s="2"/>
      <c r="C38" s="2"/>
    </row>
    <row r="39" customFormat="false" ht="15" hidden="false" customHeight="true" outlineLevel="0" collapsed="false">
      <c r="A39" s="2" t="s">
        <v>73</v>
      </c>
      <c r="B39" s="2"/>
      <c r="C39" s="2"/>
    </row>
    <row r="40" customFormat="false" ht="15" hidden="false" customHeight="true" outlineLevel="0" collapsed="false">
      <c r="A40" s="2" t="s">
        <v>74</v>
      </c>
      <c r="B40" s="2" t="s">
        <v>75</v>
      </c>
      <c r="C40" s="2"/>
    </row>
    <row r="41" customFormat="false" ht="15" hidden="false" customHeight="true" outlineLevel="0" collapsed="false">
      <c r="A41" s="4" t="s">
        <v>76</v>
      </c>
      <c r="B41" s="4" t="s">
        <v>77</v>
      </c>
      <c r="C41" s="4"/>
    </row>
    <row r="42" customFormat="false" ht="30" hidden="false" customHeight="true" outlineLevel="0" collapsed="false">
      <c r="A42" s="2" t="s">
        <v>78</v>
      </c>
      <c r="B42" s="2" t="s">
        <v>79</v>
      </c>
      <c r="C42" s="2"/>
    </row>
    <row r="43" customFormat="false" ht="30" hidden="false" customHeight="true" outlineLevel="0" collapsed="false">
      <c r="A43" s="2" t="s">
        <v>80</v>
      </c>
      <c r="B43" s="2" t="s">
        <v>81</v>
      </c>
      <c r="C43" s="2"/>
    </row>
    <row r="44" customFormat="false" ht="30" hidden="false" customHeight="true" outlineLevel="0" collapsed="false">
      <c r="A44" s="2" t="s">
        <v>82</v>
      </c>
      <c r="B44" s="2" t="s">
        <v>83</v>
      </c>
      <c r="C44" s="2"/>
    </row>
    <row r="45" customFormat="false" ht="30" hidden="false" customHeight="true" outlineLevel="0" collapsed="false"/>
    <row r="46" customFormat="false" ht="30"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22"/>
    <col collapsed="false" customWidth="true" hidden="false" outlineLevel="0" max="4" min="4" style="0" width="26"/>
    <col collapsed="false" customWidth="true" hidden="false" outlineLevel="0" max="5" min="5" style="0" width="16"/>
    <col collapsed="false" customWidth="true" hidden="false" outlineLevel="0" max="6" min="6" style="0" width="30"/>
    <col collapsed="false" customWidth="true" hidden="false" outlineLevel="0" max="7" min="7" style="0" width="13"/>
    <col collapsed="false" customWidth="true" hidden="false" outlineLevel="0" max="8" min="8" style="0" width="16"/>
    <col collapsed="false" customWidth="true" hidden="false" outlineLevel="0" max="9" min="9" style="0" width="14"/>
    <col collapsed="false" customWidth="true" hidden="false" outlineLevel="0" max="10" min="10" style="0" width="16"/>
    <col collapsed="false" customWidth="true" hidden="false" outlineLevel="0" max="12" min="11" style="0" width="11"/>
    <col collapsed="false" customWidth="true" hidden="false" outlineLevel="0" max="13" min="13" style="0" width="58"/>
    <col collapsed="false" customWidth="true" hidden="false" outlineLevel="0" max="14" min="14" style="0" width="62"/>
  </cols>
  <sheetData>
    <row r="1" customFormat="false" ht="30" hidden="false" customHeight="true" outlineLevel="0" collapsed="false">
      <c r="A1" s="5" t="s">
        <v>84</v>
      </c>
      <c r="B1" s="5" t="s">
        <v>85</v>
      </c>
      <c r="C1" s="5" t="s">
        <v>86</v>
      </c>
      <c r="D1" s="5" t="s">
        <v>87</v>
      </c>
      <c r="E1" s="5" t="s">
        <v>88</v>
      </c>
      <c r="F1" s="5" t="s">
        <v>89</v>
      </c>
      <c r="G1" s="5" t="s">
        <v>90</v>
      </c>
      <c r="H1" s="5" t="s">
        <v>91</v>
      </c>
      <c r="I1" s="5" t="s">
        <v>92</v>
      </c>
      <c r="J1" s="5" t="s">
        <v>93</v>
      </c>
      <c r="K1" s="5" t="s">
        <v>94</v>
      </c>
      <c r="L1" s="5" t="s">
        <v>69</v>
      </c>
      <c r="M1" s="5" t="s">
        <v>95</v>
      </c>
      <c r="N1" s="5" t="s">
        <v>96</v>
      </c>
    </row>
    <row r="2" customFormat="false" ht="48" hidden="false" customHeight="true" outlineLevel="0" collapsed="false">
      <c r="A2" s="6" t="s">
        <v>97</v>
      </c>
      <c r="B2" s="6" t="s">
        <v>98</v>
      </c>
      <c r="C2" s="6" t="s">
        <v>99</v>
      </c>
      <c r="D2" s="7" t="s">
        <v>100</v>
      </c>
      <c r="E2" s="6" t="s">
        <v>101</v>
      </c>
      <c r="F2" s="7" t="s">
        <v>102</v>
      </c>
      <c r="G2" s="6" t="s">
        <v>103</v>
      </c>
      <c r="H2" s="6" t="s">
        <v>104</v>
      </c>
      <c r="I2" s="6" t="s">
        <v>103</v>
      </c>
      <c r="J2" s="6" t="s">
        <v>105</v>
      </c>
      <c r="K2" s="6" t="s">
        <v>56</v>
      </c>
      <c r="L2" s="6" t="s">
        <v>59</v>
      </c>
      <c r="M2" s="7" t="s">
        <v>106</v>
      </c>
      <c r="N2" s="7" t="s">
        <v>107</v>
      </c>
    </row>
    <row r="3" customFormat="false" ht="48" hidden="false" customHeight="true" outlineLevel="0" collapsed="false">
      <c r="A3" s="8" t="s">
        <v>108</v>
      </c>
      <c r="B3" s="8" t="s">
        <v>109</v>
      </c>
      <c r="C3" s="8" t="s">
        <v>110</v>
      </c>
      <c r="D3" s="9" t="s">
        <v>111</v>
      </c>
      <c r="E3" s="8" t="s">
        <v>101</v>
      </c>
      <c r="F3" s="9" t="s">
        <v>102</v>
      </c>
      <c r="G3" s="8" t="s">
        <v>103</v>
      </c>
      <c r="H3" s="8" t="s">
        <v>104</v>
      </c>
      <c r="I3" s="8" t="s">
        <v>112</v>
      </c>
      <c r="J3" s="8" t="s">
        <v>113</v>
      </c>
      <c r="K3" s="8" t="s">
        <v>59</v>
      </c>
      <c r="L3" s="8" t="s">
        <v>59</v>
      </c>
      <c r="M3" s="9" t="s">
        <v>114</v>
      </c>
      <c r="N3" s="9" t="s">
        <v>115</v>
      </c>
    </row>
    <row r="4" customFormat="false" ht="48" hidden="false" customHeight="true" outlineLevel="0" collapsed="false">
      <c r="A4" s="6" t="s">
        <v>116</v>
      </c>
      <c r="B4" s="6" t="s">
        <v>117</v>
      </c>
      <c r="C4" s="6" t="s">
        <v>118</v>
      </c>
      <c r="D4" s="7" t="s">
        <v>119</v>
      </c>
      <c r="E4" s="6" t="s">
        <v>101</v>
      </c>
      <c r="F4" s="7" t="s">
        <v>102</v>
      </c>
      <c r="G4" s="6" t="s">
        <v>103</v>
      </c>
      <c r="H4" s="6" t="s">
        <v>104</v>
      </c>
      <c r="I4" s="6" t="s">
        <v>112</v>
      </c>
      <c r="J4" s="6" t="s">
        <v>105</v>
      </c>
      <c r="K4" s="6" t="s">
        <v>59</v>
      </c>
      <c r="L4" s="6" t="s">
        <v>59</v>
      </c>
      <c r="M4" s="7" t="s">
        <v>120</v>
      </c>
      <c r="N4" s="7" t="s">
        <v>121</v>
      </c>
    </row>
    <row r="5" customFormat="false" ht="48" hidden="false" customHeight="true" outlineLevel="0" collapsed="false">
      <c r="A5" s="8" t="s">
        <v>122</v>
      </c>
      <c r="B5" s="8" t="s">
        <v>123</v>
      </c>
      <c r="C5" s="8" t="s">
        <v>124</v>
      </c>
      <c r="D5" s="9" t="s">
        <v>100</v>
      </c>
      <c r="E5" s="8" t="s">
        <v>101</v>
      </c>
      <c r="F5" s="9" t="s">
        <v>125</v>
      </c>
      <c r="G5" s="8" t="s">
        <v>103</v>
      </c>
      <c r="H5" s="8" t="s">
        <v>126</v>
      </c>
      <c r="I5" s="8" t="s">
        <v>103</v>
      </c>
      <c r="J5" s="8" t="s">
        <v>112</v>
      </c>
      <c r="K5" s="8" t="s">
        <v>59</v>
      </c>
      <c r="L5" s="8" t="s">
        <v>59</v>
      </c>
      <c r="M5" s="9" t="s">
        <v>127</v>
      </c>
      <c r="N5" s="9" t="s">
        <v>128</v>
      </c>
    </row>
    <row r="6" customFormat="false" ht="48" hidden="false" customHeight="true" outlineLevel="0" collapsed="false">
      <c r="A6" s="6" t="s">
        <v>129</v>
      </c>
      <c r="B6" s="6" t="s">
        <v>130</v>
      </c>
      <c r="C6" s="6" t="s">
        <v>131</v>
      </c>
      <c r="D6" s="7" t="s">
        <v>132</v>
      </c>
      <c r="E6" s="6" t="s">
        <v>101</v>
      </c>
      <c r="F6" s="7" t="s">
        <v>133</v>
      </c>
      <c r="G6" s="6" t="s">
        <v>103</v>
      </c>
      <c r="H6" s="6" t="s">
        <v>104</v>
      </c>
      <c r="I6" s="6" t="s">
        <v>103</v>
      </c>
      <c r="J6" s="6" t="s">
        <v>113</v>
      </c>
      <c r="K6" s="6" t="s">
        <v>59</v>
      </c>
      <c r="L6" s="6" t="s">
        <v>59</v>
      </c>
      <c r="M6" s="7" t="s">
        <v>134</v>
      </c>
      <c r="N6" s="7" t="s">
        <v>135</v>
      </c>
    </row>
    <row r="7" customFormat="false" ht="48" hidden="false" customHeight="true" outlineLevel="0" collapsed="false">
      <c r="A7" s="8" t="s">
        <v>136</v>
      </c>
      <c r="B7" s="8" t="s">
        <v>137</v>
      </c>
      <c r="C7" s="8" t="s">
        <v>138</v>
      </c>
      <c r="D7" s="9" t="s">
        <v>111</v>
      </c>
      <c r="E7" s="8" t="s">
        <v>101</v>
      </c>
      <c r="F7" s="9" t="s">
        <v>102</v>
      </c>
      <c r="G7" s="8" t="s">
        <v>103</v>
      </c>
      <c r="H7" s="8" t="s">
        <v>104</v>
      </c>
      <c r="I7" s="8" t="s">
        <v>103</v>
      </c>
      <c r="J7" s="8" t="s">
        <v>113</v>
      </c>
      <c r="K7" s="8" t="s">
        <v>59</v>
      </c>
      <c r="L7" s="8" t="s">
        <v>59</v>
      </c>
      <c r="M7" s="9" t="s">
        <v>139</v>
      </c>
      <c r="N7" s="9" t="s">
        <v>140</v>
      </c>
    </row>
    <row r="8" customFormat="false" ht="48" hidden="false" customHeight="true" outlineLevel="0" collapsed="false">
      <c r="A8" s="6" t="s">
        <v>141</v>
      </c>
      <c r="B8" s="6" t="s">
        <v>142</v>
      </c>
      <c r="C8" s="6" t="s">
        <v>143</v>
      </c>
      <c r="D8" s="7" t="s">
        <v>144</v>
      </c>
      <c r="E8" s="6" t="s">
        <v>145</v>
      </c>
      <c r="F8" s="7" t="s">
        <v>146</v>
      </c>
      <c r="G8" s="6" t="s">
        <v>147</v>
      </c>
      <c r="H8" s="6" t="s">
        <v>104</v>
      </c>
      <c r="I8" s="6" t="s">
        <v>104</v>
      </c>
      <c r="J8" s="6" t="s">
        <v>112</v>
      </c>
      <c r="K8" s="6" t="s">
        <v>62</v>
      </c>
      <c r="L8" s="6" t="s">
        <v>62</v>
      </c>
      <c r="M8" s="7" t="s">
        <v>148</v>
      </c>
      <c r="N8" s="7" t="s">
        <v>149</v>
      </c>
    </row>
    <row r="9" customFormat="false" ht="48" hidden="false" customHeight="true" outlineLevel="0" collapsed="false">
      <c r="A9" s="8" t="s">
        <v>150</v>
      </c>
      <c r="B9" s="8" t="s">
        <v>151</v>
      </c>
      <c r="C9" s="8" t="s">
        <v>152</v>
      </c>
      <c r="D9" s="9" t="s">
        <v>111</v>
      </c>
      <c r="E9" s="8" t="s">
        <v>101</v>
      </c>
      <c r="F9" s="9" t="s">
        <v>153</v>
      </c>
      <c r="G9" s="8" t="s">
        <v>103</v>
      </c>
      <c r="H9" s="8" t="s">
        <v>104</v>
      </c>
      <c r="I9" s="8" t="s">
        <v>154</v>
      </c>
      <c r="J9" s="8" t="s">
        <v>113</v>
      </c>
      <c r="K9" s="8" t="s">
        <v>62</v>
      </c>
      <c r="L9" s="8" t="s">
        <v>65</v>
      </c>
      <c r="M9" s="9" t="s">
        <v>155</v>
      </c>
      <c r="N9" s="9" t="s">
        <v>156</v>
      </c>
    </row>
    <row r="10" customFormat="false" ht="48" hidden="false" customHeight="true" outlineLevel="0" collapsed="false">
      <c r="A10" s="6" t="s">
        <v>157</v>
      </c>
      <c r="B10" s="6" t="s">
        <v>158</v>
      </c>
      <c r="C10" s="6" t="s">
        <v>158</v>
      </c>
      <c r="D10" s="7" t="s">
        <v>159</v>
      </c>
      <c r="E10" s="6" t="s">
        <v>101</v>
      </c>
      <c r="F10" s="7" t="s">
        <v>160</v>
      </c>
      <c r="G10" s="6" t="s">
        <v>112</v>
      </c>
      <c r="H10" s="6" t="s">
        <v>161</v>
      </c>
      <c r="I10" s="6" t="s">
        <v>112</v>
      </c>
      <c r="J10" s="6" t="s">
        <v>112</v>
      </c>
      <c r="K10" s="6" t="s">
        <v>62</v>
      </c>
      <c r="L10" s="6" t="s">
        <v>62</v>
      </c>
      <c r="M10" s="7" t="s">
        <v>162</v>
      </c>
      <c r="N10" s="7" t="s">
        <v>163</v>
      </c>
    </row>
    <row r="11" customFormat="false" ht="48" hidden="false" customHeight="true" outlineLevel="0" collapsed="false">
      <c r="A11" s="8" t="s">
        <v>164</v>
      </c>
      <c r="B11" s="8" t="s">
        <v>165</v>
      </c>
      <c r="C11" s="8" t="s">
        <v>165</v>
      </c>
      <c r="D11" s="9" t="s">
        <v>166</v>
      </c>
      <c r="E11" s="8" t="s">
        <v>101</v>
      </c>
      <c r="F11" s="9" t="s">
        <v>167</v>
      </c>
      <c r="G11" s="8" t="s">
        <v>104</v>
      </c>
      <c r="H11" s="8" t="s">
        <v>104</v>
      </c>
      <c r="I11" s="8" t="s">
        <v>112</v>
      </c>
      <c r="J11" s="8" t="s">
        <v>104</v>
      </c>
      <c r="K11" s="8" t="s">
        <v>62</v>
      </c>
      <c r="L11" s="8" t="s">
        <v>65</v>
      </c>
      <c r="M11" s="9" t="s">
        <v>168</v>
      </c>
      <c r="N11" s="9" t="s">
        <v>169</v>
      </c>
    </row>
    <row r="12" customFormat="false" ht="48" hidden="false" customHeight="true" outlineLevel="0" collapsed="false">
      <c r="A12" s="6" t="s">
        <v>170</v>
      </c>
      <c r="B12" s="6" t="s">
        <v>171</v>
      </c>
      <c r="C12" s="6" t="s">
        <v>99</v>
      </c>
      <c r="D12" s="7" t="s">
        <v>172</v>
      </c>
      <c r="E12" s="6" t="s">
        <v>101</v>
      </c>
      <c r="F12" s="7" t="s">
        <v>173</v>
      </c>
      <c r="G12" s="6" t="s">
        <v>174</v>
      </c>
      <c r="H12" s="6" t="s">
        <v>104</v>
      </c>
      <c r="I12" s="6" t="s">
        <v>175</v>
      </c>
      <c r="J12" s="6" t="s">
        <v>176</v>
      </c>
      <c r="K12" s="6" t="s">
        <v>56</v>
      </c>
      <c r="L12" s="6" t="s">
        <v>59</v>
      </c>
      <c r="M12" s="7" t="s">
        <v>177</v>
      </c>
      <c r="N12" s="7" t="s">
        <v>178</v>
      </c>
    </row>
    <row r="13" customFormat="false" ht="48" hidden="false" customHeight="true" outlineLevel="0" collapsed="false">
      <c r="A13" s="8" t="s">
        <v>179</v>
      </c>
      <c r="B13" s="8" t="s">
        <v>180</v>
      </c>
      <c r="C13" s="8" t="s">
        <v>181</v>
      </c>
      <c r="D13" s="9" t="s">
        <v>182</v>
      </c>
      <c r="E13" s="8" t="s">
        <v>101</v>
      </c>
      <c r="F13" s="9" t="s">
        <v>183</v>
      </c>
      <c r="G13" s="8" t="s">
        <v>103</v>
      </c>
      <c r="H13" s="8" t="s">
        <v>184</v>
      </c>
      <c r="I13" s="8" t="s">
        <v>185</v>
      </c>
      <c r="J13" s="8" t="s">
        <v>112</v>
      </c>
      <c r="K13" s="8" t="s">
        <v>59</v>
      </c>
      <c r="L13" s="8" t="s">
        <v>62</v>
      </c>
      <c r="M13" s="9" t="s">
        <v>186</v>
      </c>
      <c r="N13" s="9" t="s">
        <v>187</v>
      </c>
    </row>
    <row r="14" customFormat="false" ht="48" hidden="false" customHeight="true" outlineLevel="0" collapsed="false">
      <c r="A14" s="6" t="s">
        <v>188</v>
      </c>
      <c r="B14" s="6" t="s">
        <v>189</v>
      </c>
      <c r="C14" s="6" t="s">
        <v>190</v>
      </c>
      <c r="D14" s="7" t="s">
        <v>182</v>
      </c>
      <c r="E14" s="6" t="s">
        <v>101</v>
      </c>
      <c r="F14" s="7" t="s">
        <v>167</v>
      </c>
      <c r="G14" s="6" t="s">
        <v>112</v>
      </c>
      <c r="H14" s="6" t="s">
        <v>191</v>
      </c>
      <c r="I14" s="6" t="s">
        <v>185</v>
      </c>
      <c r="J14" s="6" t="s">
        <v>104</v>
      </c>
      <c r="K14" s="6" t="s">
        <v>62</v>
      </c>
      <c r="L14" s="6" t="s">
        <v>65</v>
      </c>
      <c r="M14" s="7" t="s">
        <v>192</v>
      </c>
      <c r="N14" s="7" t="s">
        <v>193</v>
      </c>
    </row>
    <row r="15" customFormat="false" ht="48" hidden="false" customHeight="true" outlineLevel="0" collapsed="false">
      <c r="A15" s="8" t="s">
        <v>194</v>
      </c>
      <c r="B15" s="8" t="s">
        <v>195</v>
      </c>
      <c r="C15" s="8" t="s">
        <v>196</v>
      </c>
      <c r="D15" s="9" t="s">
        <v>197</v>
      </c>
      <c r="E15" s="8" t="s">
        <v>198</v>
      </c>
      <c r="F15" s="9" t="s">
        <v>146</v>
      </c>
      <c r="G15" s="8" t="s">
        <v>147</v>
      </c>
      <c r="H15" s="8" t="s">
        <v>104</v>
      </c>
      <c r="I15" s="8" t="s">
        <v>104</v>
      </c>
      <c r="J15" s="8" t="s">
        <v>199</v>
      </c>
      <c r="K15" s="8" t="s">
        <v>65</v>
      </c>
      <c r="L15" s="8" t="s">
        <v>59</v>
      </c>
      <c r="M15" s="9" t="s">
        <v>200</v>
      </c>
      <c r="N15" s="9" t="s">
        <v>201</v>
      </c>
    </row>
    <row r="16" customFormat="false" ht="48" hidden="false" customHeight="true" outlineLevel="0" collapsed="false">
      <c r="A16" s="6" t="s">
        <v>202</v>
      </c>
      <c r="B16" s="6" t="s">
        <v>203</v>
      </c>
      <c r="C16" s="6" t="s">
        <v>204</v>
      </c>
      <c r="D16" s="7" t="s">
        <v>205</v>
      </c>
      <c r="E16" s="6" t="s">
        <v>101</v>
      </c>
      <c r="F16" s="7" t="s">
        <v>206</v>
      </c>
      <c r="G16" s="6" t="s">
        <v>103</v>
      </c>
      <c r="H16" s="6" t="s">
        <v>104</v>
      </c>
      <c r="I16" s="6" t="s">
        <v>103</v>
      </c>
      <c r="J16" s="6" t="s">
        <v>112</v>
      </c>
      <c r="K16" s="6" t="s">
        <v>56</v>
      </c>
      <c r="L16" s="6" t="s">
        <v>59</v>
      </c>
      <c r="M16" s="7" t="s">
        <v>207</v>
      </c>
      <c r="N16" s="7" t="s">
        <v>208</v>
      </c>
    </row>
    <row r="17" customFormat="false" ht="48" hidden="false" customHeight="true" outlineLevel="0" collapsed="false">
      <c r="A17" s="8" t="s">
        <v>209</v>
      </c>
      <c r="B17" s="8" t="s">
        <v>210</v>
      </c>
      <c r="C17" s="8" t="s">
        <v>211</v>
      </c>
      <c r="D17" s="9" t="s">
        <v>212</v>
      </c>
      <c r="E17" s="8" t="s">
        <v>101</v>
      </c>
      <c r="F17" s="9" t="s">
        <v>183</v>
      </c>
      <c r="G17" s="8" t="s">
        <v>103</v>
      </c>
      <c r="H17" s="8" t="s">
        <v>104</v>
      </c>
      <c r="I17" s="8" t="s">
        <v>185</v>
      </c>
      <c r="J17" s="8" t="s">
        <v>104</v>
      </c>
      <c r="K17" s="8" t="s">
        <v>59</v>
      </c>
      <c r="L17" s="8" t="s">
        <v>65</v>
      </c>
      <c r="M17" s="9" t="s">
        <v>213</v>
      </c>
      <c r="N17" s="9" t="s">
        <v>214</v>
      </c>
    </row>
    <row r="18" customFormat="false" ht="48" hidden="false" customHeight="true" outlineLevel="0" collapsed="false">
      <c r="A18" s="6" t="s">
        <v>215</v>
      </c>
      <c r="B18" s="6" t="s">
        <v>216</v>
      </c>
      <c r="C18" s="6" t="s">
        <v>217</v>
      </c>
      <c r="D18" s="7" t="s">
        <v>218</v>
      </c>
      <c r="E18" s="6" t="s">
        <v>101</v>
      </c>
      <c r="F18" s="7" t="s">
        <v>219</v>
      </c>
      <c r="G18" s="6" t="s">
        <v>220</v>
      </c>
      <c r="H18" s="6" t="s">
        <v>221</v>
      </c>
      <c r="I18" s="6" t="s">
        <v>222</v>
      </c>
      <c r="J18" s="6" t="s">
        <v>223</v>
      </c>
      <c r="K18" s="6" t="s">
        <v>56</v>
      </c>
      <c r="L18" s="6" t="s">
        <v>59</v>
      </c>
      <c r="M18" s="7" t="s">
        <v>224</v>
      </c>
      <c r="N18" s="7" t="s">
        <v>225</v>
      </c>
    </row>
    <row r="19" customFormat="false" ht="48" hidden="false" customHeight="true" outlineLevel="0" collapsed="false">
      <c r="A19" s="8" t="s">
        <v>226</v>
      </c>
      <c r="B19" s="8" t="s">
        <v>227</v>
      </c>
      <c r="C19" s="8" t="s">
        <v>228</v>
      </c>
      <c r="D19" s="9" t="s">
        <v>229</v>
      </c>
      <c r="E19" s="8" t="s">
        <v>101</v>
      </c>
      <c r="F19" s="9" t="s">
        <v>219</v>
      </c>
      <c r="G19" s="8" t="s">
        <v>220</v>
      </c>
      <c r="H19" s="8" t="s">
        <v>230</v>
      </c>
      <c r="I19" s="8" t="s">
        <v>222</v>
      </c>
      <c r="J19" s="8" t="s">
        <v>176</v>
      </c>
      <c r="K19" s="8" t="s">
        <v>59</v>
      </c>
      <c r="L19" s="8" t="s">
        <v>59</v>
      </c>
      <c r="M19" s="9" t="s">
        <v>231</v>
      </c>
      <c r="N19" s="9" t="s">
        <v>232</v>
      </c>
    </row>
    <row r="20" customFormat="false" ht="48" hidden="false" customHeight="true" outlineLevel="0" collapsed="false">
      <c r="A20" s="6" t="s">
        <v>233</v>
      </c>
      <c r="B20" s="6" t="s">
        <v>234</v>
      </c>
      <c r="C20" s="6" t="s">
        <v>235</v>
      </c>
      <c r="D20" s="7" t="s">
        <v>229</v>
      </c>
      <c r="E20" s="6" t="s">
        <v>101</v>
      </c>
      <c r="F20" s="7" t="s">
        <v>219</v>
      </c>
      <c r="G20" s="6" t="s">
        <v>112</v>
      </c>
      <c r="H20" s="6" t="s">
        <v>236</v>
      </c>
      <c r="I20" s="6" t="s">
        <v>222</v>
      </c>
      <c r="J20" s="6" t="s">
        <v>112</v>
      </c>
      <c r="K20" s="6" t="s">
        <v>59</v>
      </c>
      <c r="L20" s="6" t="s">
        <v>62</v>
      </c>
      <c r="M20" s="7" t="s">
        <v>237</v>
      </c>
      <c r="N20" s="7" t="s">
        <v>238</v>
      </c>
    </row>
    <row r="21" customFormat="false" ht="48" hidden="false" customHeight="true" outlineLevel="0" collapsed="false">
      <c r="A21" s="8" t="s">
        <v>239</v>
      </c>
      <c r="B21" s="8" t="s">
        <v>240</v>
      </c>
      <c r="C21" s="8" t="s">
        <v>241</v>
      </c>
      <c r="D21" s="9" t="s">
        <v>229</v>
      </c>
      <c r="E21" s="8" t="s">
        <v>101</v>
      </c>
      <c r="F21" s="9" t="s">
        <v>219</v>
      </c>
      <c r="G21" s="8" t="s">
        <v>104</v>
      </c>
      <c r="H21" s="8" t="s">
        <v>242</v>
      </c>
      <c r="I21" s="8" t="s">
        <v>222</v>
      </c>
      <c r="J21" s="8" t="s">
        <v>104</v>
      </c>
      <c r="K21" s="8" t="s">
        <v>62</v>
      </c>
      <c r="L21" s="8" t="s">
        <v>59</v>
      </c>
      <c r="M21" s="9" t="s">
        <v>243</v>
      </c>
      <c r="N21" s="9" t="s">
        <v>244</v>
      </c>
    </row>
    <row r="22" customFormat="false" ht="48" hidden="false" customHeight="true" outlineLevel="0" collapsed="false">
      <c r="A22" s="6" t="s">
        <v>245</v>
      </c>
      <c r="B22" s="6" t="s">
        <v>246</v>
      </c>
      <c r="C22" s="6" t="s">
        <v>247</v>
      </c>
      <c r="D22" s="7" t="s">
        <v>248</v>
      </c>
      <c r="E22" s="6" t="s">
        <v>101</v>
      </c>
      <c r="F22" s="7" t="s">
        <v>219</v>
      </c>
      <c r="G22" s="6" t="s">
        <v>104</v>
      </c>
      <c r="H22" s="6" t="s">
        <v>249</v>
      </c>
      <c r="I22" s="6" t="s">
        <v>222</v>
      </c>
      <c r="J22" s="6" t="s">
        <v>104</v>
      </c>
      <c r="K22" s="6" t="s">
        <v>62</v>
      </c>
      <c r="L22" s="6" t="s">
        <v>59</v>
      </c>
      <c r="M22" s="7" t="s">
        <v>250</v>
      </c>
      <c r="N22" s="7" t="s">
        <v>251</v>
      </c>
    </row>
    <row r="23" customFormat="false" ht="48" hidden="false" customHeight="true" outlineLevel="0" collapsed="false">
      <c r="A23" s="8" t="s">
        <v>252</v>
      </c>
      <c r="B23" s="8" t="s">
        <v>253</v>
      </c>
      <c r="C23" s="8" t="s">
        <v>254</v>
      </c>
      <c r="D23" s="9" t="s">
        <v>255</v>
      </c>
      <c r="E23" s="8" t="s">
        <v>101</v>
      </c>
      <c r="F23" s="9" t="s">
        <v>219</v>
      </c>
      <c r="G23" s="8" t="s">
        <v>256</v>
      </c>
      <c r="H23" s="8" t="s">
        <v>257</v>
      </c>
      <c r="I23" s="8" t="s">
        <v>222</v>
      </c>
      <c r="J23" s="8" t="s">
        <v>104</v>
      </c>
      <c r="K23" s="8" t="s">
        <v>59</v>
      </c>
      <c r="L23" s="8" t="s">
        <v>62</v>
      </c>
      <c r="M23" s="9" t="s">
        <v>258</v>
      </c>
      <c r="N23" s="9" t="s">
        <v>259</v>
      </c>
    </row>
    <row r="24" customFormat="false" ht="48" hidden="false" customHeight="true" outlineLevel="0" collapsed="false">
      <c r="A24" s="6" t="s">
        <v>260</v>
      </c>
      <c r="B24" s="6" t="s">
        <v>261</v>
      </c>
      <c r="C24" s="6" t="s">
        <v>262</v>
      </c>
      <c r="D24" s="7" t="s">
        <v>218</v>
      </c>
      <c r="E24" s="6" t="s">
        <v>101</v>
      </c>
      <c r="F24" s="7" t="s">
        <v>219</v>
      </c>
      <c r="G24" s="6" t="s">
        <v>104</v>
      </c>
      <c r="H24" s="6" t="s">
        <v>263</v>
      </c>
      <c r="I24" s="6" t="s">
        <v>222</v>
      </c>
      <c r="J24" s="6" t="s">
        <v>104</v>
      </c>
      <c r="K24" s="6" t="s">
        <v>62</v>
      </c>
      <c r="L24" s="6" t="s">
        <v>62</v>
      </c>
      <c r="M24" s="7" t="s">
        <v>264</v>
      </c>
      <c r="N24" s="7" t="s">
        <v>265</v>
      </c>
    </row>
    <row r="25" customFormat="false" ht="48" hidden="false" customHeight="true" outlineLevel="0" collapsed="false">
      <c r="A25" s="8" t="s">
        <v>266</v>
      </c>
      <c r="B25" s="8" t="s">
        <v>267</v>
      </c>
      <c r="C25" s="8" t="s">
        <v>268</v>
      </c>
      <c r="D25" s="9" t="s">
        <v>269</v>
      </c>
      <c r="E25" s="8" t="s">
        <v>270</v>
      </c>
      <c r="F25" s="9" t="s">
        <v>219</v>
      </c>
      <c r="G25" s="8" t="s">
        <v>104</v>
      </c>
      <c r="H25" s="8" t="s">
        <v>271</v>
      </c>
      <c r="I25" s="8" t="s">
        <v>222</v>
      </c>
      <c r="J25" s="8" t="s">
        <v>112</v>
      </c>
      <c r="K25" s="8" t="s">
        <v>62</v>
      </c>
      <c r="L25" s="8" t="s">
        <v>62</v>
      </c>
      <c r="M25" s="9" t="s">
        <v>272</v>
      </c>
      <c r="N25" s="9" t="s">
        <v>273</v>
      </c>
    </row>
    <row r="26" customFormat="false" ht="48" hidden="false" customHeight="true" outlineLevel="0" collapsed="false">
      <c r="A26" s="6" t="s">
        <v>274</v>
      </c>
      <c r="B26" s="6" t="s">
        <v>275</v>
      </c>
      <c r="C26" s="6" t="s">
        <v>276</v>
      </c>
      <c r="D26" s="7" t="s">
        <v>277</v>
      </c>
      <c r="E26" s="6" t="s">
        <v>278</v>
      </c>
      <c r="F26" s="7" t="s">
        <v>279</v>
      </c>
      <c r="G26" s="6" t="s">
        <v>280</v>
      </c>
      <c r="H26" s="6" t="s">
        <v>281</v>
      </c>
      <c r="I26" s="6" t="s">
        <v>282</v>
      </c>
      <c r="J26" s="6" t="s">
        <v>105</v>
      </c>
      <c r="K26" s="6" t="s">
        <v>59</v>
      </c>
      <c r="L26" s="6" t="s">
        <v>59</v>
      </c>
      <c r="M26" s="7" t="s">
        <v>283</v>
      </c>
      <c r="N26" s="7" t="s">
        <v>284</v>
      </c>
    </row>
    <row r="27" customFormat="false" ht="48" hidden="false" customHeight="true" outlineLevel="0" collapsed="false">
      <c r="A27" s="8" t="s">
        <v>285</v>
      </c>
      <c r="B27" s="8" t="s">
        <v>286</v>
      </c>
      <c r="C27" s="8" t="s">
        <v>287</v>
      </c>
      <c r="D27" s="9" t="s">
        <v>288</v>
      </c>
      <c r="E27" s="8" t="s">
        <v>101</v>
      </c>
      <c r="F27" s="9" t="s">
        <v>133</v>
      </c>
      <c r="G27" s="8" t="s">
        <v>289</v>
      </c>
      <c r="H27" s="8" t="s">
        <v>290</v>
      </c>
      <c r="I27" s="8" t="s">
        <v>185</v>
      </c>
      <c r="J27" s="8" t="s">
        <v>103</v>
      </c>
      <c r="K27" s="8" t="s">
        <v>59</v>
      </c>
      <c r="L27" s="8" t="s">
        <v>59</v>
      </c>
      <c r="M27" s="9" t="s">
        <v>291</v>
      </c>
      <c r="N27" s="9" t="s">
        <v>292</v>
      </c>
    </row>
    <row r="28" customFormat="false" ht="48" hidden="false" customHeight="true" outlineLevel="0" collapsed="false">
      <c r="A28" s="6" t="s">
        <v>293</v>
      </c>
      <c r="B28" s="6" t="s">
        <v>294</v>
      </c>
      <c r="C28" s="6" t="s">
        <v>295</v>
      </c>
      <c r="D28" s="7" t="s">
        <v>296</v>
      </c>
      <c r="E28" s="6" t="s">
        <v>101</v>
      </c>
      <c r="F28" s="7" t="s">
        <v>133</v>
      </c>
      <c r="G28" s="6" t="s">
        <v>103</v>
      </c>
      <c r="H28" s="6" t="s">
        <v>104</v>
      </c>
      <c r="I28" s="6" t="s">
        <v>297</v>
      </c>
      <c r="J28" s="6" t="s">
        <v>112</v>
      </c>
      <c r="K28" s="6" t="s">
        <v>59</v>
      </c>
      <c r="L28" s="6" t="s">
        <v>59</v>
      </c>
      <c r="M28" s="7" t="s">
        <v>298</v>
      </c>
      <c r="N28" s="7" t="s">
        <v>299</v>
      </c>
    </row>
    <row r="29" customFormat="false" ht="48" hidden="false" customHeight="true" outlineLevel="0" collapsed="false">
      <c r="A29" s="8" t="s">
        <v>300</v>
      </c>
      <c r="B29" s="8" t="s">
        <v>301</v>
      </c>
      <c r="C29" s="8" t="s">
        <v>302</v>
      </c>
      <c r="D29" s="9" t="s">
        <v>296</v>
      </c>
      <c r="E29" s="8" t="s">
        <v>101</v>
      </c>
      <c r="F29" s="9" t="s">
        <v>133</v>
      </c>
      <c r="G29" s="8" t="s">
        <v>289</v>
      </c>
      <c r="H29" s="8" t="s">
        <v>104</v>
      </c>
      <c r="I29" s="8" t="s">
        <v>185</v>
      </c>
      <c r="J29" s="8" t="s">
        <v>103</v>
      </c>
      <c r="K29" s="8" t="s">
        <v>59</v>
      </c>
      <c r="L29" s="8" t="s">
        <v>62</v>
      </c>
      <c r="M29" s="9" t="s">
        <v>303</v>
      </c>
      <c r="N29" s="9" t="s">
        <v>304</v>
      </c>
    </row>
    <row r="30" customFormat="false" ht="48" hidden="false" customHeight="true" outlineLevel="0" collapsed="false">
      <c r="A30" s="6" t="s">
        <v>305</v>
      </c>
      <c r="B30" s="6" t="s">
        <v>306</v>
      </c>
      <c r="C30" s="6" t="s">
        <v>307</v>
      </c>
      <c r="D30" s="7" t="s">
        <v>308</v>
      </c>
      <c r="E30" s="6" t="s">
        <v>270</v>
      </c>
      <c r="F30" s="7" t="s">
        <v>133</v>
      </c>
      <c r="G30" s="6" t="s">
        <v>309</v>
      </c>
      <c r="H30" s="6" t="s">
        <v>310</v>
      </c>
      <c r="I30" s="6" t="s">
        <v>311</v>
      </c>
      <c r="J30" s="6" t="s">
        <v>103</v>
      </c>
      <c r="K30" s="6" t="s">
        <v>62</v>
      </c>
      <c r="L30" s="6" t="s">
        <v>62</v>
      </c>
      <c r="M30" s="7" t="s">
        <v>312</v>
      </c>
      <c r="N30" s="7" t="s">
        <v>313</v>
      </c>
    </row>
    <row r="31" customFormat="false" ht="48" hidden="false" customHeight="true" outlineLevel="0" collapsed="false">
      <c r="A31" s="8" t="s">
        <v>314</v>
      </c>
      <c r="B31" s="8" t="s">
        <v>315</v>
      </c>
      <c r="C31" s="8" t="s">
        <v>316</v>
      </c>
      <c r="D31" s="9" t="s">
        <v>317</v>
      </c>
      <c r="E31" s="8" t="s">
        <v>278</v>
      </c>
      <c r="F31" s="9" t="s">
        <v>133</v>
      </c>
      <c r="G31" s="8" t="s">
        <v>318</v>
      </c>
      <c r="H31" s="8" t="s">
        <v>319</v>
      </c>
      <c r="I31" s="8" t="s">
        <v>311</v>
      </c>
      <c r="J31" s="8" t="s">
        <v>103</v>
      </c>
      <c r="K31" s="8" t="s">
        <v>59</v>
      </c>
      <c r="L31" s="8" t="s">
        <v>62</v>
      </c>
      <c r="M31" s="9" t="s">
        <v>320</v>
      </c>
      <c r="N31" s="9" t="s">
        <v>321</v>
      </c>
    </row>
    <row r="32" customFormat="false" ht="48" hidden="false" customHeight="true" outlineLevel="0" collapsed="false">
      <c r="A32" s="6" t="s">
        <v>322</v>
      </c>
      <c r="B32" s="6" t="s">
        <v>323</v>
      </c>
      <c r="C32" s="6" t="s">
        <v>295</v>
      </c>
      <c r="D32" s="7" t="s">
        <v>324</v>
      </c>
      <c r="E32" s="6" t="s">
        <v>101</v>
      </c>
      <c r="F32" s="7" t="s">
        <v>325</v>
      </c>
      <c r="G32" s="6" t="s">
        <v>326</v>
      </c>
      <c r="H32" s="6" t="s">
        <v>327</v>
      </c>
      <c r="I32" s="6" t="s">
        <v>328</v>
      </c>
      <c r="J32" s="6" t="s">
        <v>329</v>
      </c>
      <c r="K32" s="6" t="s">
        <v>56</v>
      </c>
      <c r="L32" s="6" t="s">
        <v>59</v>
      </c>
      <c r="M32" s="7" t="s">
        <v>330</v>
      </c>
      <c r="N32" s="7" t="s">
        <v>331</v>
      </c>
    </row>
    <row r="33" customFormat="false" ht="48" hidden="false" customHeight="true" outlineLevel="0" collapsed="false">
      <c r="A33" s="8" t="s">
        <v>332</v>
      </c>
      <c r="B33" s="8" t="s">
        <v>333</v>
      </c>
      <c r="C33" s="8" t="s">
        <v>334</v>
      </c>
      <c r="D33" s="9" t="s">
        <v>335</v>
      </c>
      <c r="E33" s="8" t="s">
        <v>101</v>
      </c>
      <c r="F33" s="9" t="s">
        <v>336</v>
      </c>
      <c r="G33" s="8" t="s">
        <v>326</v>
      </c>
      <c r="H33" s="8" t="s">
        <v>104</v>
      </c>
      <c r="I33" s="8" t="s">
        <v>185</v>
      </c>
      <c r="J33" s="8" t="s">
        <v>112</v>
      </c>
      <c r="K33" s="8" t="s">
        <v>59</v>
      </c>
      <c r="L33" s="8" t="s">
        <v>62</v>
      </c>
      <c r="M33" s="9" t="s">
        <v>337</v>
      </c>
      <c r="N33" s="9" t="s">
        <v>338</v>
      </c>
    </row>
    <row r="34" customFormat="false" ht="48" hidden="false" customHeight="true" outlineLevel="0" collapsed="false">
      <c r="A34" s="6" t="s">
        <v>339</v>
      </c>
      <c r="B34" s="6" t="s">
        <v>340</v>
      </c>
      <c r="C34" s="6" t="s">
        <v>99</v>
      </c>
      <c r="D34" s="7" t="s">
        <v>341</v>
      </c>
      <c r="E34" s="6" t="s">
        <v>342</v>
      </c>
      <c r="F34" s="7" t="s">
        <v>343</v>
      </c>
      <c r="G34" s="6" t="s">
        <v>344</v>
      </c>
      <c r="H34" s="6" t="s">
        <v>345</v>
      </c>
      <c r="I34" s="6" t="s">
        <v>346</v>
      </c>
      <c r="J34" s="6" t="s">
        <v>103</v>
      </c>
      <c r="K34" s="6" t="s">
        <v>59</v>
      </c>
      <c r="L34" s="6" t="s">
        <v>59</v>
      </c>
      <c r="M34" s="7" t="s">
        <v>347</v>
      </c>
      <c r="N34" s="7" t="s">
        <v>348</v>
      </c>
    </row>
    <row r="35" customFormat="false" ht="48" hidden="false" customHeight="true" outlineLevel="0" collapsed="false">
      <c r="A35" s="8" t="s">
        <v>349</v>
      </c>
      <c r="B35" s="8" t="s">
        <v>350</v>
      </c>
      <c r="C35" s="8" t="s">
        <v>351</v>
      </c>
      <c r="D35" s="9" t="s">
        <v>352</v>
      </c>
      <c r="E35" s="8" t="s">
        <v>353</v>
      </c>
      <c r="F35" s="9" t="s">
        <v>146</v>
      </c>
      <c r="G35" s="8" t="s">
        <v>147</v>
      </c>
      <c r="H35" s="8" t="s">
        <v>104</v>
      </c>
      <c r="I35" s="8" t="s">
        <v>104</v>
      </c>
      <c r="J35" s="8" t="s">
        <v>104</v>
      </c>
      <c r="K35" s="8" t="s">
        <v>65</v>
      </c>
      <c r="L35" s="8" t="s">
        <v>62</v>
      </c>
      <c r="M35" s="9" t="s">
        <v>354</v>
      </c>
      <c r="N35" s="9" t="s">
        <v>355</v>
      </c>
    </row>
    <row r="36" customFormat="false" ht="48" hidden="false" customHeight="true" outlineLevel="0" collapsed="false">
      <c r="A36" s="6" t="s">
        <v>356</v>
      </c>
      <c r="B36" s="6" t="s">
        <v>357</v>
      </c>
      <c r="C36" s="6" t="s">
        <v>358</v>
      </c>
      <c r="D36" s="7" t="s">
        <v>359</v>
      </c>
      <c r="E36" s="6" t="s">
        <v>270</v>
      </c>
      <c r="F36" s="7" t="s">
        <v>360</v>
      </c>
      <c r="G36" s="6" t="s">
        <v>326</v>
      </c>
      <c r="H36" s="6" t="s">
        <v>361</v>
      </c>
      <c r="I36" s="6" t="s">
        <v>185</v>
      </c>
      <c r="J36" s="6" t="s">
        <v>112</v>
      </c>
      <c r="K36" s="6" t="s">
        <v>59</v>
      </c>
      <c r="L36" s="6" t="s">
        <v>62</v>
      </c>
      <c r="M36" s="7" t="s">
        <v>362</v>
      </c>
      <c r="N36" s="7" t="s">
        <v>363</v>
      </c>
    </row>
    <row r="37" customFormat="false" ht="48" hidden="false" customHeight="true" outlineLevel="0" collapsed="false">
      <c r="A37" s="8" t="s">
        <v>364</v>
      </c>
      <c r="B37" s="8" t="s">
        <v>365</v>
      </c>
      <c r="C37" s="8" t="s">
        <v>351</v>
      </c>
      <c r="D37" s="9" t="s">
        <v>100</v>
      </c>
      <c r="E37" s="8" t="s">
        <v>101</v>
      </c>
      <c r="F37" s="9" t="s">
        <v>102</v>
      </c>
      <c r="G37" s="8" t="s">
        <v>103</v>
      </c>
      <c r="H37" s="8" t="s">
        <v>104</v>
      </c>
      <c r="I37" s="8" t="s">
        <v>103</v>
      </c>
      <c r="J37" s="8" t="s">
        <v>113</v>
      </c>
      <c r="K37" s="8" t="s">
        <v>56</v>
      </c>
      <c r="L37" s="8" t="s">
        <v>59</v>
      </c>
      <c r="M37" s="9" t="s">
        <v>366</v>
      </c>
      <c r="N37" s="9" t="s">
        <v>367</v>
      </c>
    </row>
    <row r="38" customFormat="false" ht="48" hidden="false" customHeight="true" outlineLevel="0" collapsed="false">
      <c r="A38" s="6" t="s">
        <v>368</v>
      </c>
      <c r="B38" s="6" t="s">
        <v>369</v>
      </c>
      <c r="C38" s="6" t="s">
        <v>370</v>
      </c>
      <c r="D38" s="7" t="s">
        <v>100</v>
      </c>
      <c r="E38" s="6" t="s">
        <v>101</v>
      </c>
      <c r="F38" s="7" t="s">
        <v>102</v>
      </c>
      <c r="G38" s="6" t="s">
        <v>103</v>
      </c>
      <c r="H38" s="6" t="s">
        <v>104</v>
      </c>
      <c r="I38" s="6" t="s">
        <v>103</v>
      </c>
      <c r="J38" s="6" t="s">
        <v>113</v>
      </c>
      <c r="K38" s="6" t="s">
        <v>56</v>
      </c>
      <c r="L38" s="6" t="s">
        <v>59</v>
      </c>
      <c r="M38" s="7" t="s">
        <v>371</v>
      </c>
      <c r="N38" s="7" t="s">
        <v>372</v>
      </c>
    </row>
    <row r="39" customFormat="false" ht="48" hidden="false" customHeight="true" outlineLevel="0" collapsed="false">
      <c r="A39" s="8" t="s">
        <v>373</v>
      </c>
      <c r="B39" s="8" t="s">
        <v>374</v>
      </c>
      <c r="C39" s="8" t="s">
        <v>375</v>
      </c>
      <c r="D39" s="9" t="s">
        <v>376</v>
      </c>
      <c r="E39" s="8" t="s">
        <v>101</v>
      </c>
      <c r="F39" s="9" t="s">
        <v>206</v>
      </c>
      <c r="G39" s="8" t="s">
        <v>103</v>
      </c>
      <c r="H39" s="8" t="s">
        <v>104</v>
      </c>
      <c r="I39" s="8" t="s">
        <v>377</v>
      </c>
      <c r="J39" s="8" t="s">
        <v>176</v>
      </c>
      <c r="K39" s="8" t="s">
        <v>59</v>
      </c>
      <c r="L39" s="8" t="s">
        <v>59</v>
      </c>
      <c r="M39" s="9" t="s">
        <v>378</v>
      </c>
      <c r="N39" s="9" t="s">
        <v>379</v>
      </c>
    </row>
    <row r="40" customFormat="false" ht="48" hidden="false" customHeight="true" outlineLevel="0" collapsed="false">
      <c r="A40" s="6" t="s">
        <v>380</v>
      </c>
      <c r="B40" s="6" t="s">
        <v>381</v>
      </c>
      <c r="C40" s="6" t="s">
        <v>382</v>
      </c>
      <c r="D40" s="7" t="s">
        <v>132</v>
      </c>
      <c r="E40" s="6" t="s">
        <v>101</v>
      </c>
      <c r="F40" s="7" t="s">
        <v>206</v>
      </c>
      <c r="G40" s="6" t="s">
        <v>103</v>
      </c>
      <c r="H40" s="6" t="s">
        <v>383</v>
      </c>
      <c r="I40" s="6" t="s">
        <v>384</v>
      </c>
      <c r="J40" s="6" t="s">
        <v>113</v>
      </c>
      <c r="K40" s="6" t="s">
        <v>59</v>
      </c>
      <c r="L40" s="6" t="s">
        <v>59</v>
      </c>
      <c r="M40" s="7" t="s">
        <v>385</v>
      </c>
      <c r="N40" s="7" t="s">
        <v>386</v>
      </c>
    </row>
    <row r="41" customFormat="false" ht="48" hidden="false" customHeight="true" outlineLevel="0" collapsed="false">
      <c r="A41" s="8" t="s">
        <v>387</v>
      </c>
      <c r="B41" s="8" t="s">
        <v>388</v>
      </c>
      <c r="C41" s="8" t="s">
        <v>389</v>
      </c>
      <c r="D41" s="9" t="s">
        <v>132</v>
      </c>
      <c r="E41" s="8" t="s">
        <v>101</v>
      </c>
      <c r="F41" s="9" t="s">
        <v>206</v>
      </c>
      <c r="G41" s="8" t="s">
        <v>103</v>
      </c>
      <c r="H41" s="8" t="s">
        <v>104</v>
      </c>
      <c r="I41" s="8" t="s">
        <v>384</v>
      </c>
      <c r="J41" s="8" t="s">
        <v>113</v>
      </c>
      <c r="K41" s="8" t="s">
        <v>59</v>
      </c>
      <c r="L41" s="8" t="s">
        <v>59</v>
      </c>
      <c r="M41" s="9" t="s">
        <v>390</v>
      </c>
      <c r="N41" s="9" t="s">
        <v>391</v>
      </c>
    </row>
    <row r="42" customFormat="false" ht="48" hidden="false" customHeight="true" outlineLevel="0" collapsed="false">
      <c r="A42" s="6" t="s">
        <v>392</v>
      </c>
      <c r="B42" s="6" t="s">
        <v>393</v>
      </c>
      <c r="C42" s="6" t="s">
        <v>394</v>
      </c>
      <c r="D42" s="7" t="s">
        <v>395</v>
      </c>
      <c r="E42" s="6" t="s">
        <v>278</v>
      </c>
      <c r="F42" s="7" t="s">
        <v>396</v>
      </c>
      <c r="G42" s="6" t="s">
        <v>103</v>
      </c>
      <c r="H42" s="6" t="s">
        <v>319</v>
      </c>
      <c r="I42" s="6" t="s">
        <v>103</v>
      </c>
      <c r="J42" s="6" t="s">
        <v>113</v>
      </c>
      <c r="K42" s="6" t="s">
        <v>56</v>
      </c>
      <c r="L42" s="6" t="s">
        <v>59</v>
      </c>
      <c r="M42" s="7" t="s">
        <v>397</v>
      </c>
      <c r="N42" s="7" t="s">
        <v>398</v>
      </c>
    </row>
    <row r="43" customFormat="false" ht="48" hidden="false" customHeight="true" outlineLevel="0" collapsed="false">
      <c r="A43" s="8" t="s">
        <v>399</v>
      </c>
      <c r="B43" s="8" t="s">
        <v>400</v>
      </c>
      <c r="C43" s="8" t="s">
        <v>401</v>
      </c>
      <c r="D43" s="9" t="s">
        <v>402</v>
      </c>
      <c r="E43" s="8" t="s">
        <v>278</v>
      </c>
      <c r="F43" s="9" t="s">
        <v>279</v>
      </c>
      <c r="G43" s="8" t="s">
        <v>103</v>
      </c>
      <c r="H43" s="8" t="s">
        <v>403</v>
      </c>
      <c r="I43" s="8" t="s">
        <v>103</v>
      </c>
      <c r="J43" s="8" t="s">
        <v>113</v>
      </c>
      <c r="K43" s="8" t="s">
        <v>56</v>
      </c>
      <c r="L43" s="8" t="s">
        <v>59</v>
      </c>
      <c r="M43" s="9" t="s">
        <v>404</v>
      </c>
      <c r="N43" s="9" t="s">
        <v>405</v>
      </c>
    </row>
    <row r="44" customFormat="false" ht="48" hidden="false" customHeight="true" outlineLevel="0" collapsed="false">
      <c r="A44" s="6" t="s">
        <v>406</v>
      </c>
      <c r="B44" s="6" t="s">
        <v>407</v>
      </c>
      <c r="C44" s="6" t="s">
        <v>152</v>
      </c>
      <c r="D44" s="7" t="s">
        <v>111</v>
      </c>
      <c r="E44" s="6" t="s">
        <v>101</v>
      </c>
      <c r="F44" s="7" t="s">
        <v>102</v>
      </c>
      <c r="G44" s="6" t="s">
        <v>103</v>
      </c>
      <c r="H44" s="6" t="s">
        <v>104</v>
      </c>
      <c r="I44" s="6" t="s">
        <v>104</v>
      </c>
      <c r="J44" s="6" t="s">
        <v>113</v>
      </c>
      <c r="K44" s="6" t="s">
        <v>56</v>
      </c>
      <c r="L44" s="6" t="s">
        <v>59</v>
      </c>
      <c r="M44" s="7" t="s">
        <v>408</v>
      </c>
      <c r="N44" s="7" t="s">
        <v>409</v>
      </c>
    </row>
    <row r="45" customFormat="false" ht="48" hidden="false" customHeight="true" outlineLevel="0" collapsed="false">
      <c r="A45" s="8" t="s">
        <v>410</v>
      </c>
      <c r="B45" s="8" t="s">
        <v>411</v>
      </c>
      <c r="C45" s="8" t="s">
        <v>412</v>
      </c>
      <c r="D45" s="9" t="s">
        <v>255</v>
      </c>
      <c r="E45" s="8" t="s">
        <v>278</v>
      </c>
      <c r="F45" s="9" t="s">
        <v>413</v>
      </c>
      <c r="G45" s="8" t="s">
        <v>103</v>
      </c>
      <c r="H45" s="8" t="s">
        <v>414</v>
      </c>
      <c r="I45" s="8" t="s">
        <v>103</v>
      </c>
      <c r="J45" s="8" t="s">
        <v>103</v>
      </c>
      <c r="K45" s="8" t="s">
        <v>56</v>
      </c>
      <c r="L45" s="8" t="s">
        <v>59</v>
      </c>
      <c r="M45" s="9" t="s">
        <v>415</v>
      </c>
      <c r="N45" s="9" t="s">
        <v>416</v>
      </c>
    </row>
  </sheetData>
  <autoFilter ref="A1:N45"/>
  <conditionalFormatting sqref="K2:K45">
    <cfRule type="cellIs" priority="2" operator="equal" aboveAverage="0" equalAverage="0" bottom="0" percent="0" rank="0" text="" dxfId="12">
      <formula>"Critical"</formula>
    </cfRule>
    <cfRule type="cellIs" priority="3" operator="equal" aboveAverage="0" equalAverage="0" bottom="0" percent="0" rank="0" text="" dxfId="13">
      <formula>"High"</formula>
    </cfRule>
    <cfRule type="cellIs" priority="4" operator="equal" aboveAverage="0" equalAverage="0" bottom="0" percent="0" rank="0" text="" dxfId="14">
      <formula>"Medium"</formula>
    </cfRule>
    <cfRule type="cellIs" priority="5" operator="equal" aboveAverage="0" equalAverage="0" bottom="0" percent="0" rank="0" text="" dxfId="1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6F"/>
    <pageSetUpPr fitToPage="false"/>
  </sheetPr>
  <dimension ref="A1:H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20"/>
    <col collapsed="false" customWidth="true" hidden="false" outlineLevel="0" max="4" min="4" style="0" width="18"/>
    <col collapsed="false" customWidth="true" hidden="false" outlineLevel="0" max="5" min="5" style="0" width="74"/>
    <col collapsed="false" customWidth="true" hidden="false" outlineLevel="0" max="6" min="6" style="0" width="26"/>
    <col collapsed="false" customWidth="true" hidden="false" outlineLevel="0" max="7" min="7" style="0" width="11"/>
    <col collapsed="false" customWidth="true" hidden="false" outlineLevel="0" max="8" min="8" style="0" width="58"/>
  </cols>
  <sheetData>
    <row r="1" customFormat="false" ht="30" hidden="false" customHeight="true" outlineLevel="0" collapsed="false">
      <c r="A1" s="5" t="s">
        <v>84</v>
      </c>
      <c r="B1" s="5" t="s">
        <v>85</v>
      </c>
      <c r="C1" s="5" t="s">
        <v>417</v>
      </c>
      <c r="D1" s="5" t="s">
        <v>418</v>
      </c>
      <c r="E1" s="5" t="s">
        <v>419</v>
      </c>
      <c r="F1" s="5" t="s">
        <v>420</v>
      </c>
      <c r="G1" s="5" t="s">
        <v>69</v>
      </c>
      <c r="H1" s="5" t="s">
        <v>4</v>
      </c>
    </row>
    <row r="2" customFormat="false" ht="15" hidden="false" customHeight="false" outlineLevel="0" collapsed="false">
      <c r="A2" s="6" t="s">
        <v>97</v>
      </c>
      <c r="B2" s="6" t="s">
        <v>98</v>
      </c>
      <c r="C2" s="6" t="s">
        <v>421</v>
      </c>
      <c r="D2" s="6" t="s">
        <v>422</v>
      </c>
      <c r="E2" s="10" t="s">
        <v>423</v>
      </c>
      <c r="F2" s="6" t="s">
        <v>424</v>
      </c>
      <c r="G2" s="6" t="s">
        <v>59</v>
      </c>
      <c r="H2" s="7" t="s">
        <v>425</v>
      </c>
    </row>
    <row r="3" customFormat="false" ht="15" hidden="false" customHeight="false" outlineLevel="0" collapsed="false">
      <c r="A3" s="8" t="s">
        <v>97</v>
      </c>
      <c r="B3" s="8" t="s">
        <v>98</v>
      </c>
      <c r="C3" s="8" t="s">
        <v>421</v>
      </c>
      <c r="D3" s="8" t="s">
        <v>422</v>
      </c>
      <c r="E3" s="11" t="s">
        <v>426</v>
      </c>
      <c r="F3" s="8" t="s">
        <v>427</v>
      </c>
      <c r="G3" s="8" t="s">
        <v>59</v>
      </c>
      <c r="H3" s="9" t="s">
        <v>428</v>
      </c>
    </row>
    <row r="4" customFormat="false" ht="15" hidden="false" customHeight="false" outlineLevel="0" collapsed="false">
      <c r="A4" s="6" t="s">
        <v>97</v>
      </c>
      <c r="B4" s="6" t="s">
        <v>98</v>
      </c>
      <c r="C4" s="6" t="s">
        <v>429</v>
      </c>
      <c r="D4" s="6" t="s">
        <v>422</v>
      </c>
      <c r="E4" s="10" t="s">
        <v>430</v>
      </c>
      <c r="F4" s="6" t="s">
        <v>431</v>
      </c>
      <c r="G4" s="6" t="s">
        <v>59</v>
      </c>
      <c r="H4" s="7" t="s">
        <v>432</v>
      </c>
    </row>
    <row r="5" customFormat="false" ht="15" hidden="false" customHeight="false" outlineLevel="0" collapsed="false">
      <c r="A5" s="8" t="s">
        <v>97</v>
      </c>
      <c r="B5" s="8" t="s">
        <v>98</v>
      </c>
      <c r="C5" s="8" t="s">
        <v>429</v>
      </c>
      <c r="D5" s="8" t="s">
        <v>422</v>
      </c>
      <c r="E5" s="11" t="s">
        <v>433</v>
      </c>
      <c r="F5" s="8" t="s">
        <v>427</v>
      </c>
      <c r="G5" s="8" t="s">
        <v>59</v>
      </c>
      <c r="H5" s="9" t="s">
        <v>434</v>
      </c>
    </row>
    <row r="6" customFormat="false" ht="15" hidden="false" customHeight="false" outlineLevel="0" collapsed="false">
      <c r="A6" s="6" t="s">
        <v>97</v>
      </c>
      <c r="B6" s="6" t="s">
        <v>98</v>
      </c>
      <c r="C6" s="6" t="s">
        <v>435</v>
      </c>
      <c r="D6" s="6" t="s">
        <v>436</v>
      </c>
      <c r="E6" s="10" t="s">
        <v>437</v>
      </c>
      <c r="F6" s="6" t="s">
        <v>435</v>
      </c>
      <c r="G6" s="6" t="s">
        <v>59</v>
      </c>
      <c r="H6" s="7" t="s">
        <v>438</v>
      </c>
    </row>
    <row r="7" customFormat="false" ht="15" hidden="false" customHeight="false" outlineLevel="0" collapsed="false">
      <c r="A7" s="8" t="s">
        <v>97</v>
      </c>
      <c r="B7" s="8" t="s">
        <v>98</v>
      </c>
      <c r="C7" s="8" t="s">
        <v>435</v>
      </c>
      <c r="D7" s="8" t="s">
        <v>439</v>
      </c>
      <c r="E7" s="11" t="s">
        <v>440</v>
      </c>
      <c r="F7" s="8" t="s">
        <v>435</v>
      </c>
      <c r="G7" s="8" t="s">
        <v>59</v>
      </c>
      <c r="H7" s="9" t="s">
        <v>441</v>
      </c>
    </row>
    <row r="8" customFormat="false" ht="15" hidden="false" customHeight="false" outlineLevel="0" collapsed="false">
      <c r="A8" s="6" t="s">
        <v>97</v>
      </c>
      <c r="B8" s="6" t="s">
        <v>98</v>
      </c>
      <c r="C8" s="6" t="s">
        <v>435</v>
      </c>
      <c r="D8" s="6" t="s">
        <v>442</v>
      </c>
      <c r="E8" s="10" t="s">
        <v>443</v>
      </c>
      <c r="F8" s="6" t="s">
        <v>444</v>
      </c>
      <c r="G8" s="6" t="s">
        <v>59</v>
      </c>
      <c r="H8" s="7" t="s">
        <v>445</v>
      </c>
    </row>
    <row r="9" customFormat="false" ht="15" hidden="false" customHeight="false" outlineLevel="0" collapsed="false">
      <c r="A9" s="8" t="s">
        <v>97</v>
      </c>
      <c r="B9" s="8" t="s">
        <v>98</v>
      </c>
      <c r="C9" s="8" t="s">
        <v>435</v>
      </c>
      <c r="D9" s="8" t="s">
        <v>442</v>
      </c>
      <c r="E9" s="11" t="s">
        <v>446</v>
      </c>
      <c r="F9" s="8" t="s">
        <v>444</v>
      </c>
      <c r="G9" s="8" t="s">
        <v>59</v>
      </c>
      <c r="H9" s="9" t="s">
        <v>447</v>
      </c>
    </row>
    <row r="10" customFormat="false" ht="15" hidden="false" customHeight="false" outlineLevel="0" collapsed="false">
      <c r="A10" s="6" t="s">
        <v>97</v>
      </c>
      <c r="B10" s="6" t="s">
        <v>98</v>
      </c>
      <c r="C10" s="6" t="s">
        <v>435</v>
      </c>
      <c r="D10" s="6" t="s">
        <v>442</v>
      </c>
      <c r="E10" s="10" t="s">
        <v>448</v>
      </c>
      <c r="F10" s="6" t="s">
        <v>444</v>
      </c>
      <c r="G10" s="6" t="s">
        <v>59</v>
      </c>
      <c r="H10" s="7" t="s">
        <v>449</v>
      </c>
    </row>
    <row r="11" customFormat="false" ht="15" hidden="false" customHeight="false" outlineLevel="0" collapsed="false">
      <c r="A11" s="8" t="s">
        <v>108</v>
      </c>
      <c r="B11" s="8" t="s">
        <v>109</v>
      </c>
      <c r="C11" s="8" t="s">
        <v>421</v>
      </c>
      <c r="D11" s="8" t="s">
        <v>450</v>
      </c>
      <c r="E11" s="11" t="s">
        <v>451</v>
      </c>
      <c r="F11" s="8" t="s">
        <v>452</v>
      </c>
      <c r="G11" s="8" t="s">
        <v>59</v>
      </c>
      <c r="H11" s="9" t="s">
        <v>453</v>
      </c>
    </row>
    <row r="12" customFormat="false" ht="15" hidden="false" customHeight="false" outlineLevel="0" collapsed="false">
      <c r="A12" s="6" t="s">
        <v>108</v>
      </c>
      <c r="B12" s="6" t="s">
        <v>109</v>
      </c>
      <c r="C12" s="6" t="s">
        <v>421</v>
      </c>
      <c r="D12" s="6" t="s">
        <v>422</v>
      </c>
      <c r="E12" s="10" t="s">
        <v>454</v>
      </c>
      <c r="F12" s="6" t="s">
        <v>452</v>
      </c>
      <c r="G12" s="6" t="s">
        <v>59</v>
      </c>
      <c r="H12" s="7" t="s">
        <v>455</v>
      </c>
    </row>
    <row r="13" customFormat="false" ht="15" hidden="false" customHeight="false" outlineLevel="0" collapsed="false">
      <c r="A13" s="8" t="s">
        <v>108</v>
      </c>
      <c r="B13" s="8" t="s">
        <v>109</v>
      </c>
      <c r="C13" s="8" t="s">
        <v>421</v>
      </c>
      <c r="D13" s="8" t="s">
        <v>422</v>
      </c>
      <c r="E13" s="11" t="s">
        <v>456</v>
      </c>
      <c r="F13" s="8" t="s">
        <v>452</v>
      </c>
      <c r="G13" s="8" t="s">
        <v>59</v>
      </c>
      <c r="H13" s="9" t="s">
        <v>457</v>
      </c>
    </row>
    <row r="14" customFormat="false" ht="15" hidden="false" customHeight="false" outlineLevel="0" collapsed="false">
      <c r="A14" s="6" t="s">
        <v>108</v>
      </c>
      <c r="B14" s="6" t="s">
        <v>109</v>
      </c>
      <c r="C14" s="6" t="s">
        <v>421</v>
      </c>
      <c r="D14" s="6" t="s">
        <v>458</v>
      </c>
      <c r="E14" s="10" t="s">
        <v>459</v>
      </c>
      <c r="F14" s="6" t="s">
        <v>452</v>
      </c>
      <c r="G14" s="6" t="s">
        <v>59</v>
      </c>
      <c r="H14" s="7" t="s">
        <v>460</v>
      </c>
    </row>
    <row r="15" customFormat="false" ht="15" hidden="false" customHeight="false" outlineLevel="0" collapsed="false">
      <c r="A15" s="8" t="s">
        <v>108</v>
      </c>
      <c r="B15" s="8" t="s">
        <v>109</v>
      </c>
      <c r="C15" s="8" t="s">
        <v>421</v>
      </c>
      <c r="D15" s="8" t="s">
        <v>436</v>
      </c>
      <c r="E15" s="11" t="s">
        <v>461</v>
      </c>
      <c r="F15" s="8" t="s">
        <v>452</v>
      </c>
      <c r="G15" s="8" t="s">
        <v>59</v>
      </c>
      <c r="H15" s="9" t="s">
        <v>462</v>
      </c>
    </row>
    <row r="16" customFormat="false" ht="15" hidden="false" customHeight="false" outlineLevel="0" collapsed="false">
      <c r="A16" s="6" t="s">
        <v>108</v>
      </c>
      <c r="B16" s="6" t="s">
        <v>109</v>
      </c>
      <c r="C16" s="6" t="s">
        <v>463</v>
      </c>
      <c r="D16" s="6" t="s">
        <v>436</v>
      </c>
      <c r="E16" s="10" t="s">
        <v>464</v>
      </c>
      <c r="F16" s="6" t="s">
        <v>465</v>
      </c>
      <c r="G16" s="6" t="s">
        <v>59</v>
      </c>
      <c r="H16" s="7"/>
    </row>
    <row r="17" customFormat="false" ht="15" hidden="false" customHeight="false" outlineLevel="0" collapsed="false">
      <c r="A17" s="8" t="s">
        <v>108</v>
      </c>
      <c r="B17" s="8" t="s">
        <v>109</v>
      </c>
      <c r="C17" s="8" t="s">
        <v>466</v>
      </c>
      <c r="D17" s="8" t="s">
        <v>436</v>
      </c>
      <c r="E17" s="11" t="s">
        <v>467</v>
      </c>
      <c r="F17" s="8" t="s">
        <v>468</v>
      </c>
      <c r="G17" s="8" t="s">
        <v>59</v>
      </c>
      <c r="H17" s="9"/>
    </row>
    <row r="18" customFormat="false" ht="15" hidden="false" customHeight="false" outlineLevel="0" collapsed="false">
      <c r="A18" s="6" t="s">
        <v>108</v>
      </c>
      <c r="B18" s="6" t="s">
        <v>109</v>
      </c>
      <c r="C18" s="6" t="s">
        <v>435</v>
      </c>
      <c r="D18" s="6" t="s">
        <v>469</v>
      </c>
      <c r="E18" s="10" t="s">
        <v>470</v>
      </c>
      <c r="F18" s="6" t="s">
        <v>444</v>
      </c>
      <c r="G18" s="6" t="s">
        <v>59</v>
      </c>
      <c r="H18" s="7" t="s">
        <v>471</v>
      </c>
    </row>
    <row r="19" customFormat="false" ht="15" hidden="false" customHeight="false" outlineLevel="0" collapsed="false">
      <c r="A19" s="8" t="s">
        <v>108</v>
      </c>
      <c r="B19" s="8" t="s">
        <v>109</v>
      </c>
      <c r="C19" s="8" t="s">
        <v>435</v>
      </c>
      <c r="D19" s="8" t="s">
        <v>469</v>
      </c>
      <c r="E19" s="11" t="s">
        <v>472</v>
      </c>
      <c r="F19" s="8" t="s">
        <v>444</v>
      </c>
      <c r="G19" s="8" t="s">
        <v>59</v>
      </c>
      <c r="H19" s="9" t="s">
        <v>473</v>
      </c>
    </row>
    <row r="20" customFormat="false" ht="15" hidden="false" customHeight="false" outlineLevel="0" collapsed="false">
      <c r="A20" s="6" t="s">
        <v>108</v>
      </c>
      <c r="B20" s="6" t="s">
        <v>109</v>
      </c>
      <c r="C20" s="6" t="s">
        <v>435</v>
      </c>
      <c r="D20" s="6" t="s">
        <v>474</v>
      </c>
      <c r="E20" s="10" t="s">
        <v>475</v>
      </c>
      <c r="F20" s="6" t="s">
        <v>444</v>
      </c>
      <c r="G20" s="6" t="s">
        <v>59</v>
      </c>
      <c r="H20" s="7" t="s">
        <v>476</v>
      </c>
    </row>
    <row r="21" customFormat="false" ht="15" hidden="false" customHeight="false" outlineLevel="0" collapsed="false">
      <c r="A21" s="8" t="s">
        <v>108</v>
      </c>
      <c r="B21" s="8" t="s">
        <v>109</v>
      </c>
      <c r="C21" s="8" t="s">
        <v>421</v>
      </c>
      <c r="D21" s="8" t="s">
        <v>477</v>
      </c>
      <c r="E21" s="11" t="s">
        <v>478</v>
      </c>
      <c r="F21" s="8" t="s">
        <v>444</v>
      </c>
      <c r="G21" s="8" t="s">
        <v>62</v>
      </c>
      <c r="H21" s="9" t="s">
        <v>479</v>
      </c>
    </row>
    <row r="22" customFormat="false" ht="15" hidden="false" customHeight="false" outlineLevel="0" collapsed="false">
      <c r="A22" s="6" t="s">
        <v>116</v>
      </c>
      <c r="B22" s="6" t="s">
        <v>480</v>
      </c>
      <c r="C22" s="6" t="s">
        <v>435</v>
      </c>
      <c r="D22" s="6" t="s">
        <v>422</v>
      </c>
      <c r="E22" s="10" t="s">
        <v>481</v>
      </c>
      <c r="F22" s="6" t="s">
        <v>482</v>
      </c>
      <c r="G22" s="6" t="s">
        <v>59</v>
      </c>
      <c r="H22" s="7" t="s">
        <v>483</v>
      </c>
    </row>
    <row r="23" customFormat="false" ht="22.35" hidden="false" customHeight="false" outlineLevel="0" collapsed="false">
      <c r="A23" s="8" t="s">
        <v>116</v>
      </c>
      <c r="B23" s="8" t="s">
        <v>480</v>
      </c>
      <c r="C23" s="8" t="s">
        <v>435</v>
      </c>
      <c r="D23" s="8" t="s">
        <v>422</v>
      </c>
      <c r="E23" s="11" t="s">
        <v>484</v>
      </c>
      <c r="F23" s="8" t="s">
        <v>485</v>
      </c>
      <c r="G23" s="8" t="s">
        <v>59</v>
      </c>
      <c r="H23" s="9" t="s">
        <v>486</v>
      </c>
    </row>
    <row r="24" customFormat="false" ht="15" hidden="false" customHeight="false" outlineLevel="0" collapsed="false">
      <c r="A24" s="6" t="s">
        <v>116</v>
      </c>
      <c r="B24" s="6" t="s">
        <v>480</v>
      </c>
      <c r="C24" s="6" t="s">
        <v>435</v>
      </c>
      <c r="D24" s="6" t="s">
        <v>436</v>
      </c>
      <c r="E24" s="10" t="s">
        <v>487</v>
      </c>
      <c r="F24" s="6" t="s">
        <v>488</v>
      </c>
      <c r="G24" s="6" t="s">
        <v>59</v>
      </c>
      <c r="H24" s="7" t="s">
        <v>489</v>
      </c>
    </row>
    <row r="25" customFormat="false" ht="15" hidden="false" customHeight="false" outlineLevel="0" collapsed="false">
      <c r="A25" s="8" t="s">
        <v>116</v>
      </c>
      <c r="B25" s="8" t="s">
        <v>480</v>
      </c>
      <c r="C25" s="8" t="s">
        <v>435</v>
      </c>
      <c r="D25" s="8" t="s">
        <v>469</v>
      </c>
      <c r="E25" s="11" t="s">
        <v>490</v>
      </c>
      <c r="F25" s="8" t="s">
        <v>488</v>
      </c>
      <c r="G25" s="8" t="s">
        <v>59</v>
      </c>
      <c r="H25" s="9" t="s">
        <v>491</v>
      </c>
    </row>
    <row r="26" customFormat="false" ht="15" hidden="false" customHeight="false" outlineLevel="0" collapsed="false">
      <c r="A26" s="6" t="s">
        <v>116</v>
      </c>
      <c r="B26" s="6" t="s">
        <v>480</v>
      </c>
      <c r="C26" s="6" t="s">
        <v>435</v>
      </c>
      <c r="D26" s="6" t="s">
        <v>492</v>
      </c>
      <c r="E26" s="10" t="s">
        <v>493</v>
      </c>
      <c r="F26" s="6" t="s">
        <v>444</v>
      </c>
      <c r="G26" s="6" t="s">
        <v>59</v>
      </c>
      <c r="H26" s="7" t="s">
        <v>494</v>
      </c>
    </row>
    <row r="27" customFormat="false" ht="15" hidden="false" customHeight="false" outlineLevel="0" collapsed="false">
      <c r="A27" s="8" t="s">
        <v>116</v>
      </c>
      <c r="B27" s="8" t="s">
        <v>480</v>
      </c>
      <c r="C27" s="8" t="s">
        <v>421</v>
      </c>
      <c r="D27" s="8" t="s">
        <v>495</v>
      </c>
      <c r="E27" s="11" t="s">
        <v>496</v>
      </c>
      <c r="F27" s="8" t="s">
        <v>497</v>
      </c>
      <c r="G27" s="8" t="s">
        <v>59</v>
      </c>
      <c r="H27" s="9"/>
    </row>
    <row r="28" customFormat="false" ht="15" hidden="false" customHeight="false" outlineLevel="0" collapsed="false">
      <c r="A28" s="6" t="s">
        <v>122</v>
      </c>
      <c r="B28" s="6" t="s">
        <v>123</v>
      </c>
      <c r="C28" s="6" t="s">
        <v>435</v>
      </c>
      <c r="D28" s="6" t="s">
        <v>422</v>
      </c>
      <c r="E28" s="10" t="s">
        <v>498</v>
      </c>
      <c r="F28" s="6" t="s">
        <v>499</v>
      </c>
      <c r="G28" s="6" t="s">
        <v>59</v>
      </c>
      <c r="H28" s="7"/>
    </row>
    <row r="29" customFormat="false" ht="15" hidden="false" customHeight="false" outlineLevel="0" collapsed="false">
      <c r="A29" s="8" t="s">
        <v>122</v>
      </c>
      <c r="B29" s="8" t="s">
        <v>123</v>
      </c>
      <c r="C29" s="8" t="s">
        <v>435</v>
      </c>
      <c r="D29" s="8" t="s">
        <v>439</v>
      </c>
      <c r="E29" s="11" t="s">
        <v>500</v>
      </c>
      <c r="F29" s="8" t="s">
        <v>444</v>
      </c>
      <c r="G29" s="8" t="s">
        <v>59</v>
      </c>
      <c r="H29" s="9" t="s">
        <v>501</v>
      </c>
    </row>
    <row r="30" customFormat="false" ht="15" hidden="false" customHeight="false" outlineLevel="0" collapsed="false">
      <c r="A30" s="6" t="s">
        <v>122</v>
      </c>
      <c r="B30" s="6" t="s">
        <v>123</v>
      </c>
      <c r="C30" s="6" t="s">
        <v>435</v>
      </c>
      <c r="D30" s="6" t="s">
        <v>502</v>
      </c>
      <c r="E30" s="10" t="s">
        <v>503</v>
      </c>
      <c r="F30" s="6" t="s">
        <v>444</v>
      </c>
      <c r="G30" s="6" t="s">
        <v>62</v>
      </c>
      <c r="H30" s="7" t="s">
        <v>504</v>
      </c>
    </row>
    <row r="31" customFormat="false" ht="15" hidden="false" customHeight="false" outlineLevel="0" collapsed="false">
      <c r="A31" s="8" t="s">
        <v>122</v>
      </c>
      <c r="B31" s="8" t="s">
        <v>123</v>
      </c>
      <c r="C31" s="8" t="s">
        <v>435</v>
      </c>
      <c r="D31" s="8" t="s">
        <v>502</v>
      </c>
      <c r="E31" s="11" t="s">
        <v>505</v>
      </c>
      <c r="F31" s="8" t="s">
        <v>444</v>
      </c>
      <c r="G31" s="8" t="s">
        <v>59</v>
      </c>
      <c r="H31" s="9" t="s">
        <v>506</v>
      </c>
    </row>
    <row r="32" customFormat="false" ht="15" hidden="false" customHeight="false" outlineLevel="0" collapsed="false">
      <c r="A32" s="6" t="s">
        <v>122</v>
      </c>
      <c r="B32" s="6" t="s">
        <v>123</v>
      </c>
      <c r="C32" s="6" t="s">
        <v>435</v>
      </c>
      <c r="D32" s="6" t="s">
        <v>507</v>
      </c>
      <c r="E32" s="10" t="s">
        <v>508</v>
      </c>
      <c r="F32" s="6" t="s">
        <v>444</v>
      </c>
      <c r="G32" s="6" t="s">
        <v>62</v>
      </c>
      <c r="H32" s="7"/>
    </row>
    <row r="33" customFormat="false" ht="15" hidden="false" customHeight="false" outlineLevel="0" collapsed="false">
      <c r="A33" s="8" t="s">
        <v>122</v>
      </c>
      <c r="B33" s="8" t="s">
        <v>123</v>
      </c>
      <c r="C33" s="8" t="s">
        <v>435</v>
      </c>
      <c r="D33" s="8" t="s">
        <v>509</v>
      </c>
      <c r="E33" s="11" t="s">
        <v>510</v>
      </c>
      <c r="F33" s="8" t="s">
        <v>444</v>
      </c>
      <c r="G33" s="8" t="s">
        <v>62</v>
      </c>
      <c r="H33" s="9" t="s">
        <v>511</v>
      </c>
    </row>
    <row r="34" customFormat="false" ht="22.35" hidden="false" customHeight="false" outlineLevel="0" collapsed="false">
      <c r="A34" s="6" t="s">
        <v>122</v>
      </c>
      <c r="B34" s="6" t="s">
        <v>123</v>
      </c>
      <c r="C34" s="6" t="s">
        <v>435</v>
      </c>
      <c r="D34" s="6" t="s">
        <v>509</v>
      </c>
      <c r="E34" s="10" t="s">
        <v>512</v>
      </c>
      <c r="F34" s="6" t="s">
        <v>444</v>
      </c>
      <c r="G34" s="6" t="s">
        <v>59</v>
      </c>
      <c r="H34" s="7" t="s">
        <v>513</v>
      </c>
    </row>
    <row r="35" customFormat="false" ht="15" hidden="false" customHeight="false" outlineLevel="0" collapsed="false">
      <c r="A35" s="8" t="s">
        <v>122</v>
      </c>
      <c r="B35" s="8" t="s">
        <v>123</v>
      </c>
      <c r="C35" s="8" t="s">
        <v>435</v>
      </c>
      <c r="D35" s="8" t="s">
        <v>509</v>
      </c>
      <c r="E35" s="11" t="s">
        <v>514</v>
      </c>
      <c r="F35" s="8" t="s">
        <v>444</v>
      </c>
      <c r="G35" s="8" t="s">
        <v>59</v>
      </c>
      <c r="H35" s="9" t="s">
        <v>515</v>
      </c>
    </row>
    <row r="36" customFormat="false" ht="15" hidden="false" customHeight="false" outlineLevel="0" collapsed="false">
      <c r="A36" s="6" t="s">
        <v>129</v>
      </c>
      <c r="B36" s="6" t="s">
        <v>130</v>
      </c>
      <c r="C36" s="6" t="s">
        <v>435</v>
      </c>
      <c r="D36" s="6" t="s">
        <v>439</v>
      </c>
      <c r="E36" s="10" t="s">
        <v>516</v>
      </c>
      <c r="F36" s="6" t="s">
        <v>517</v>
      </c>
      <c r="G36" s="6" t="s">
        <v>59</v>
      </c>
      <c r="H36" s="7" t="s">
        <v>518</v>
      </c>
    </row>
    <row r="37" customFormat="false" ht="15" hidden="false" customHeight="false" outlineLevel="0" collapsed="false">
      <c r="A37" s="8" t="s">
        <v>129</v>
      </c>
      <c r="B37" s="8" t="s">
        <v>130</v>
      </c>
      <c r="C37" s="8" t="s">
        <v>435</v>
      </c>
      <c r="D37" s="8" t="s">
        <v>439</v>
      </c>
      <c r="E37" s="11" t="s">
        <v>519</v>
      </c>
      <c r="F37" s="8" t="s">
        <v>517</v>
      </c>
      <c r="G37" s="8" t="s">
        <v>59</v>
      </c>
      <c r="H37" s="9" t="s">
        <v>520</v>
      </c>
    </row>
    <row r="38" customFormat="false" ht="15" hidden="false" customHeight="false" outlineLevel="0" collapsed="false">
      <c r="A38" s="6" t="s">
        <v>129</v>
      </c>
      <c r="B38" s="6" t="s">
        <v>130</v>
      </c>
      <c r="C38" s="6" t="s">
        <v>435</v>
      </c>
      <c r="D38" s="6" t="s">
        <v>439</v>
      </c>
      <c r="E38" s="10" t="s">
        <v>521</v>
      </c>
      <c r="F38" s="6" t="s">
        <v>517</v>
      </c>
      <c r="G38" s="6" t="s">
        <v>62</v>
      </c>
      <c r="H38" s="7" t="s">
        <v>522</v>
      </c>
    </row>
    <row r="39" customFormat="false" ht="15" hidden="false" customHeight="false" outlineLevel="0" collapsed="false">
      <c r="A39" s="8" t="s">
        <v>129</v>
      </c>
      <c r="B39" s="8" t="s">
        <v>130</v>
      </c>
      <c r="C39" s="8" t="s">
        <v>435</v>
      </c>
      <c r="D39" s="8" t="s">
        <v>474</v>
      </c>
      <c r="E39" s="11" t="s">
        <v>523</v>
      </c>
      <c r="F39" s="8" t="s">
        <v>444</v>
      </c>
      <c r="G39" s="8" t="s">
        <v>59</v>
      </c>
      <c r="H39" s="9" t="s">
        <v>476</v>
      </c>
    </row>
    <row r="40" customFormat="false" ht="15" hidden="false" customHeight="false" outlineLevel="0" collapsed="false">
      <c r="A40" s="6" t="s">
        <v>129</v>
      </c>
      <c r="B40" s="6" t="s">
        <v>130</v>
      </c>
      <c r="C40" s="6" t="s">
        <v>435</v>
      </c>
      <c r="D40" s="6" t="s">
        <v>524</v>
      </c>
      <c r="E40" s="10" t="s">
        <v>525</v>
      </c>
      <c r="F40" s="6" t="s">
        <v>444</v>
      </c>
      <c r="G40" s="6" t="s">
        <v>62</v>
      </c>
      <c r="H40" s="7"/>
    </row>
    <row r="41" customFormat="false" ht="15" hidden="false" customHeight="false" outlineLevel="0" collapsed="false">
      <c r="A41" s="8" t="s">
        <v>136</v>
      </c>
      <c r="B41" s="8" t="s">
        <v>137</v>
      </c>
      <c r="C41" s="8" t="s">
        <v>435</v>
      </c>
      <c r="D41" s="8" t="s">
        <v>436</v>
      </c>
      <c r="E41" s="11" t="s">
        <v>526</v>
      </c>
      <c r="F41" s="8" t="s">
        <v>527</v>
      </c>
      <c r="G41" s="8" t="s">
        <v>59</v>
      </c>
      <c r="H41" s="9" t="s">
        <v>528</v>
      </c>
    </row>
    <row r="42" customFormat="false" ht="15" hidden="false" customHeight="false" outlineLevel="0" collapsed="false">
      <c r="A42" s="6" t="s">
        <v>136</v>
      </c>
      <c r="B42" s="6" t="s">
        <v>137</v>
      </c>
      <c r="C42" s="6" t="s">
        <v>421</v>
      </c>
      <c r="D42" s="6" t="s">
        <v>469</v>
      </c>
      <c r="E42" s="10" t="s">
        <v>529</v>
      </c>
      <c r="F42" s="6" t="s">
        <v>530</v>
      </c>
      <c r="G42" s="6" t="s">
        <v>59</v>
      </c>
      <c r="H42" s="7" t="s">
        <v>491</v>
      </c>
    </row>
    <row r="43" customFormat="false" ht="15" hidden="false" customHeight="false" outlineLevel="0" collapsed="false">
      <c r="A43" s="8" t="s">
        <v>136</v>
      </c>
      <c r="B43" s="8" t="s">
        <v>137</v>
      </c>
      <c r="C43" s="8" t="s">
        <v>429</v>
      </c>
      <c r="D43" s="8" t="s">
        <v>469</v>
      </c>
      <c r="E43" s="11" t="s">
        <v>531</v>
      </c>
      <c r="F43" s="8" t="s">
        <v>530</v>
      </c>
      <c r="G43" s="8" t="s">
        <v>59</v>
      </c>
      <c r="H43" s="9" t="s">
        <v>491</v>
      </c>
    </row>
    <row r="44" customFormat="false" ht="15" hidden="false" customHeight="false" outlineLevel="0" collapsed="false">
      <c r="A44" s="6" t="s">
        <v>136</v>
      </c>
      <c r="B44" s="6" t="s">
        <v>137</v>
      </c>
      <c r="C44" s="6" t="s">
        <v>435</v>
      </c>
      <c r="D44" s="6" t="s">
        <v>532</v>
      </c>
      <c r="E44" s="10" t="s">
        <v>533</v>
      </c>
      <c r="F44" s="6" t="s">
        <v>527</v>
      </c>
      <c r="G44" s="6" t="s">
        <v>62</v>
      </c>
      <c r="H44" s="7" t="s">
        <v>534</v>
      </c>
    </row>
    <row r="45" customFormat="false" ht="15" hidden="false" customHeight="false" outlineLevel="0" collapsed="false">
      <c r="A45" s="8" t="s">
        <v>136</v>
      </c>
      <c r="B45" s="8" t="s">
        <v>137</v>
      </c>
      <c r="C45" s="8" t="s">
        <v>435</v>
      </c>
      <c r="D45" s="8" t="s">
        <v>524</v>
      </c>
      <c r="E45" s="11" t="s">
        <v>535</v>
      </c>
      <c r="F45" s="8" t="s">
        <v>444</v>
      </c>
      <c r="G45" s="8" t="s">
        <v>62</v>
      </c>
      <c r="H45" s="9" t="s">
        <v>536</v>
      </c>
    </row>
    <row r="46" customFormat="false" ht="15" hidden="false" customHeight="false" outlineLevel="0" collapsed="false">
      <c r="A46" s="6" t="s">
        <v>136</v>
      </c>
      <c r="B46" s="6" t="s">
        <v>137</v>
      </c>
      <c r="C46" s="6" t="s">
        <v>435</v>
      </c>
      <c r="D46" s="6" t="s">
        <v>474</v>
      </c>
      <c r="E46" s="10" t="s">
        <v>537</v>
      </c>
      <c r="F46" s="6" t="s">
        <v>444</v>
      </c>
      <c r="G46" s="6" t="s">
        <v>62</v>
      </c>
      <c r="H46" s="7" t="s">
        <v>476</v>
      </c>
    </row>
    <row r="47" customFormat="false" ht="15" hidden="false" customHeight="false" outlineLevel="0" collapsed="false">
      <c r="A47" s="8" t="s">
        <v>141</v>
      </c>
      <c r="B47" s="8" t="s">
        <v>142</v>
      </c>
      <c r="C47" s="8" t="s">
        <v>435</v>
      </c>
      <c r="D47" s="8" t="s">
        <v>538</v>
      </c>
      <c r="E47" s="11" t="s">
        <v>539</v>
      </c>
      <c r="F47" s="8" t="s">
        <v>444</v>
      </c>
      <c r="G47" s="8" t="s">
        <v>65</v>
      </c>
      <c r="H47" s="9" t="s">
        <v>540</v>
      </c>
    </row>
    <row r="48" customFormat="false" ht="22.35" hidden="false" customHeight="false" outlineLevel="0" collapsed="false">
      <c r="A48" s="6" t="s">
        <v>150</v>
      </c>
      <c r="B48" s="6" t="s">
        <v>541</v>
      </c>
      <c r="C48" s="6" t="s">
        <v>435</v>
      </c>
      <c r="D48" s="6" t="s">
        <v>422</v>
      </c>
      <c r="E48" s="10" t="s">
        <v>542</v>
      </c>
      <c r="F48" s="6" t="s">
        <v>517</v>
      </c>
      <c r="G48" s="6" t="s">
        <v>59</v>
      </c>
      <c r="H48" s="7" t="s">
        <v>543</v>
      </c>
    </row>
    <row r="49" customFormat="false" ht="15" hidden="false" customHeight="false" outlineLevel="0" collapsed="false">
      <c r="A49" s="8" t="s">
        <v>150</v>
      </c>
      <c r="B49" s="8" t="s">
        <v>541</v>
      </c>
      <c r="C49" s="8" t="s">
        <v>435</v>
      </c>
      <c r="D49" s="8" t="s">
        <v>544</v>
      </c>
      <c r="E49" s="11" t="s">
        <v>545</v>
      </c>
      <c r="F49" s="8" t="s">
        <v>546</v>
      </c>
      <c r="G49" s="8" t="s">
        <v>59</v>
      </c>
      <c r="H49" s="9" t="s">
        <v>547</v>
      </c>
    </row>
    <row r="50" customFormat="false" ht="15" hidden="false" customHeight="false" outlineLevel="0" collapsed="false">
      <c r="A50" s="6" t="s">
        <v>150</v>
      </c>
      <c r="B50" s="6" t="s">
        <v>541</v>
      </c>
      <c r="C50" s="6" t="s">
        <v>421</v>
      </c>
      <c r="D50" s="6" t="s">
        <v>495</v>
      </c>
      <c r="E50" s="10" t="s">
        <v>548</v>
      </c>
      <c r="F50" s="6" t="s">
        <v>497</v>
      </c>
      <c r="G50" s="6" t="s">
        <v>59</v>
      </c>
      <c r="H50" s="7"/>
    </row>
    <row r="51" customFormat="false" ht="15" hidden="false" customHeight="false" outlineLevel="0" collapsed="false">
      <c r="A51" s="8" t="s">
        <v>150</v>
      </c>
      <c r="B51" s="8" t="s">
        <v>541</v>
      </c>
      <c r="C51" s="8" t="s">
        <v>435</v>
      </c>
      <c r="D51" s="8" t="s">
        <v>474</v>
      </c>
      <c r="E51" s="11" t="s">
        <v>549</v>
      </c>
      <c r="F51" s="8" t="s">
        <v>444</v>
      </c>
      <c r="G51" s="8" t="s">
        <v>62</v>
      </c>
      <c r="H51" s="9"/>
    </row>
    <row r="52" customFormat="false" ht="15" hidden="false" customHeight="false" outlineLevel="0" collapsed="false">
      <c r="A52" s="6" t="s">
        <v>157</v>
      </c>
      <c r="B52" s="6" t="s">
        <v>158</v>
      </c>
      <c r="C52" s="6" t="s">
        <v>435</v>
      </c>
      <c r="D52" s="6" t="s">
        <v>550</v>
      </c>
      <c r="E52" s="10" t="s">
        <v>551</v>
      </c>
      <c r="F52" s="6" t="s">
        <v>527</v>
      </c>
      <c r="G52" s="6" t="s">
        <v>59</v>
      </c>
      <c r="H52" s="7" t="s">
        <v>552</v>
      </c>
    </row>
    <row r="53" customFormat="false" ht="15" hidden="false" customHeight="false" outlineLevel="0" collapsed="false">
      <c r="A53" s="8" t="s">
        <v>157</v>
      </c>
      <c r="B53" s="8" t="s">
        <v>158</v>
      </c>
      <c r="C53" s="8" t="s">
        <v>435</v>
      </c>
      <c r="D53" s="8" t="s">
        <v>550</v>
      </c>
      <c r="E53" s="11" t="s">
        <v>553</v>
      </c>
      <c r="F53" s="8" t="s">
        <v>444</v>
      </c>
      <c r="G53" s="8" t="s">
        <v>59</v>
      </c>
      <c r="H53" s="9" t="s">
        <v>554</v>
      </c>
    </row>
    <row r="54" customFormat="false" ht="15" hidden="false" customHeight="false" outlineLevel="0" collapsed="false">
      <c r="A54" s="6" t="s">
        <v>157</v>
      </c>
      <c r="B54" s="6" t="s">
        <v>158</v>
      </c>
      <c r="C54" s="6" t="s">
        <v>435</v>
      </c>
      <c r="D54" s="6" t="s">
        <v>422</v>
      </c>
      <c r="E54" s="10" t="s">
        <v>555</v>
      </c>
      <c r="F54" s="6" t="s">
        <v>527</v>
      </c>
      <c r="G54" s="6" t="s">
        <v>59</v>
      </c>
      <c r="H54" s="7" t="s">
        <v>556</v>
      </c>
    </row>
    <row r="55" customFormat="false" ht="15" hidden="false" customHeight="false" outlineLevel="0" collapsed="false">
      <c r="A55" s="8" t="s">
        <v>157</v>
      </c>
      <c r="B55" s="8" t="s">
        <v>158</v>
      </c>
      <c r="C55" s="8" t="s">
        <v>435</v>
      </c>
      <c r="D55" s="8" t="s">
        <v>557</v>
      </c>
      <c r="E55" s="11" t="s">
        <v>558</v>
      </c>
      <c r="F55" s="8" t="s">
        <v>444</v>
      </c>
      <c r="G55" s="8" t="s">
        <v>59</v>
      </c>
      <c r="H55" s="9" t="s">
        <v>559</v>
      </c>
    </row>
    <row r="56" customFormat="false" ht="15" hidden="false" customHeight="false" outlineLevel="0" collapsed="false">
      <c r="A56" s="6" t="s">
        <v>164</v>
      </c>
      <c r="B56" s="6" t="s">
        <v>165</v>
      </c>
      <c r="C56" s="6" t="s">
        <v>435</v>
      </c>
      <c r="D56" s="6" t="s">
        <v>422</v>
      </c>
      <c r="E56" s="10" t="s">
        <v>560</v>
      </c>
      <c r="F56" s="6" t="s">
        <v>561</v>
      </c>
      <c r="G56" s="6" t="s">
        <v>65</v>
      </c>
      <c r="H56" s="7" t="s">
        <v>562</v>
      </c>
    </row>
    <row r="57" customFormat="false" ht="15" hidden="false" customHeight="false" outlineLevel="0" collapsed="false">
      <c r="A57" s="8" t="s">
        <v>164</v>
      </c>
      <c r="B57" s="8" t="s">
        <v>165</v>
      </c>
      <c r="C57" s="8" t="s">
        <v>435</v>
      </c>
      <c r="D57" s="8" t="s">
        <v>563</v>
      </c>
      <c r="E57" s="11" t="s">
        <v>564</v>
      </c>
      <c r="F57" s="8" t="s">
        <v>565</v>
      </c>
      <c r="G57" s="8" t="s">
        <v>62</v>
      </c>
      <c r="H57" s="9"/>
    </row>
    <row r="58" customFormat="false" ht="15" hidden="false" customHeight="false" outlineLevel="0" collapsed="false">
      <c r="A58" s="6" t="s">
        <v>170</v>
      </c>
      <c r="B58" s="6" t="s">
        <v>566</v>
      </c>
      <c r="C58" s="6" t="s">
        <v>463</v>
      </c>
      <c r="D58" s="6" t="s">
        <v>469</v>
      </c>
      <c r="E58" s="10" t="s">
        <v>567</v>
      </c>
      <c r="F58" s="6" t="s">
        <v>465</v>
      </c>
      <c r="G58" s="6" t="s">
        <v>59</v>
      </c>
      <c r="H58" s="7" t="s">
        <v>568</v>
      </c>
    </row>
    <row r="59" customFormat="false" ht="15" hidden="false" customHeight="false" outlineLevel="0" collapsed="false">
      <c r="A59" s="8" t="s">
        <v>170</v>
      </c>
      <c r="B59" s="8" t="s">
        <v>566</v>
      </c>
      <c r="C59" s="8" t="s">
        <v>421</v>
      </c>
      <c r="D59" s="8" t="s">
        <v>469</v>
      </c>
      <c r="E59" s="11" t="s">
        <v>569</v>
      </c>
      <c r="F59" s="8" t="s">
        <v>570</v>
      </c>
      <c r="G59" s="8" t="s">
        <v>59</v>
      </c>
      <c r="H59" s="9" t="s">
        <v>568</v>
      </c>
    </row>
    <row r="60" customFormat="false" ht="22.35" hidden="false" customHeight="false" outlineLevel="0" collapsed="false">
      <c r="A60" s="6" t="s">
        <v>170</v>
      </c>
      <c r="B60" s="6" t="s">
        <v>566</v>
      </c>
      <c r="C60" s="6" t="s">
        <v>571</v>
      </c>
      <c r="D60" s="6" t="s">
        <v>469</v>
      </c>
      <c r="E60" s="10" t="s">
        <v>572</v>
      </c>
      <c r="F60" s="6" t="s">
        <v>573</v>
      </c>
      <c r="G60" s="6" t="s">
        <v>59</v>
      </c>
      <c r="H60" s="7" t="s">
        <v>574</v>
      </c>
    </row>
    <row r="61" customFormat="false" ht="15" hidden="false" customHeight="false" outlineLevel="0" collapsed="false">
      <c r="A61" s="8" t="s">
        <v>170</v>
      </c>
      <c r="B61" s="8" t="s">
        <v>566</v>
      </c>
      <c r="C61" s="8" t="s">
        <v>466</v>
      </c>
      <c r="D61" s="8" t="s">
        <v>469</v>
      </c>
      <c r="E61" s="11" t="s">
        <v>575</v>
      </c>
      <c r="F61" s="8" t="s">
        <v>576</v>
      </c>
      <c r="G61" s="8" t="s">
        <v>59</v>
      </c>
      <c r="H61" s="9" t="s">
        <v>568</v>
      </c>
    </row>
    <row r="62" customFormat="false" ht="15" hidden="false" customHeight="false" outlineLevel="0" collapsed="false">
      <c r="A62" s="6" t="s">
        <v>170</v>
      </c>
      <c r="B62" s="6" t="s">
        <v>566</v>
      </c>
      <c r="C62" s="6" t="s">
        <v>435</v>
      </c>
      <c r="D62" s="6" t="s">
        <v>577</v>
      </c>
      <c r="E62" s="10" t="s">
        <v>578</v>
      </c>
      <c r="F62" s="6" t="s">
        <v>444</v>
      </c>
      <c r="G62" s="6" t="s">
        <v>59</v>
      </c>
      <c r="H62" s="7" t="s">
        <v>579</v>
      </c>
    </row>
    <row r="63" customFormat="false" ht="15" hidden="false" customHeight="false" outlineLevel="0" collapsed="false">
      <c r="A63" s="8" t="s">
        <v>170</v>
      </c>
      <c r="B63" s="8" t="s">
        <v>566</v>
      </c>
      <c r="C63" s="8" t="s">
        <v>421</v>
      </c>
      <c r="D63" s="8" t="s">
        <v>580</v>
      </c>
      <c r="E63" s="11" t="s">
        <v>581</v>
      </c>
      <c r="F63" s="8" t="s">
        <v>444</v>
      </c>
      <c r="G63" s="8" t="s">
        <v>62</v>
      </c>
      <c r="H63" s="9" t="s">
        <v>582</v>
      </c>
    </row>
    <row r="64" customFormat="false" ht="15" hidden="false" customHeight="false" outlineLevel="0" collapsed="false">
      <c r="A64" s="6" t="s">
        <v>170</v>
      </c>
      <c r="B64" s="6" t="s">
        <v>566</v>
      </c>
      <c r="C64" s="6" t="s">
        <v>463</v>
      </c>
      <c r="D64" s="6" t="s">
        <v>580</v>
      </c>
      <c r="E64" s="10" t="s">
        <v>583</v>
      </c>
      <c r="F64" s="6" t="s">
        <v>444</v>
      </c>
      <c r="G64" s="6" t="s">
        <v>62</v>
      </c>
      <c r="H64" s="7" t="s">
        <v>584</v>
      </c>
    </row>
    <row r="65" customFormat="false" ht="15" hidden="false" customHeight="false" outlineLevel="0" collapsed="false">
      <c r="A65" s="8" t="s">
        <v>179</v>
      </c>
      <c r="B65" s="8" t="s">
        <v>180</v>
      </c>
      <c r="C65" s="8" t="s">
        <v>435</v>
      </c>
      <c r="D65" s="8" t="s">
        <v>502</v>
      </c>
      <c r="E65" s="11" t="s">
        <v>585</v>
      </c>
      <c r="F65" s="8" t="s">
        <v>586</v>
      </c>
      <c r="G65" s="8" t="s">
        <v>62</v>
      </c>
      <c r="H65" s="9" t="s">
        <v>587</v>
      </c>
    </row>
    <row r="66" customFormat="false" ht="15" hidden="false" customHeight="false" outlineLevel="0" collapsed="false">
      <c r="A66" s="6" t="s">
        <v>179</v>
      </c>
      <c r="B66" s="6" t="s">
        <v>180</v>
      </c>
      <c r="C66" s="6" t="s">
        <v>435</v>
      </c>
      <c r="D66" s="6" t="s">
        <v>588</v>
      </c>
      <c r="E66" s="10" t="s">
        <v>589</v>
      </c>
      <c r="F66" s="6" t="s">
        <v>444</v>
      </c>
      <c r="G66" s="6" t="s">
        <v>62</v>
      </c>
      <c r="H66" s="7" t="s">
        <v>590</v>
      </c>
    </row>
    <row r="67" customFormat="false" ht="15" hidden="false" customHeight="false" outlineLevel="0" collapsed="false">
      <c r="A67" s="8" t="s">
        <v>202</v>
      </c>
      <c r="B67" s="8" t="s">
        <v>203</v>
      </c>
      <c r="C67" s="8" t="s">
        <v>435</v>
      </c>
      <c r="D67" s="8" t="s">
        <v>422</v>
      </c>
      <c r="E67" s="11" t="s">
        <v>591</v>
      </c>
      <c r="F67" s="8" t="s">
        <v>592</v>
      </c>
      <c r="G67" s="8" t="s">
        <v>59</v>
      </c>
      <c r="H67" s="9" t="s">
        <v>593</v>
      </c>
    </row>
    <row r="68" customFormat="false" ht="15" hidden="false" customHeight="false" outlineLevel="0" collapsed="false">
      <c r="A68" s="6" t="s">
        <v>202</v>
      </c>
      <c r="B68" s="6" t="s">
        <v>203</v>
      </c>
      <c r="C68" s="6" t="s">
        <v>421</v>
      </c>
      <c r="D68" s="6" t="s">
        <v>422</v>
      </c>
      <c r="E68" s="10" t="s">
        <v>594</v>
      </c>
      <c r="F68" s="6" t="s">
        <v>592</v>
      </c>
      <c r="G68" s="6" t="s">
        <v>59</v>
      </c>
      <c r="H68" s="7"/>
    </row>
    <row r="69" customFormat="false" ht="15" hidden="false" customHeight="false" outlineLevel="0" collapsed="false">
      <c r="A69" s="8" t="s">
        <v>202</v>
      </c>
      <c r="B69" s="8" t="s">
        <v>203</v>
      </c>
      <c r="C69" s="8" t="s">
        <v>435</v>
      </c>
      <c r="D69" s="8" t="s">
        <v>436</v>
      </c>
      <c r="E69" s="11" t="s">
        <v>595</v>
      </c>
      <c r="F69" s="8" t="s">
        <v>592</v>
      </c>
      <c r="G69" s="8" t="s">
        <v>62</v>
      </c>
      <c r="H69" s="9" t="s">
        <v>596</v>
      </c>
    </row>
    <row r="70" customFormat="false" ht="15" hidden="false" customHeight="false" outlineLevel="0" collapsed="false">
      <c r="A70" s="6" t="s">
        <v>202</v>
      </c>
      <c r="B70" s="6" t="s">
        <v>203</v>
      </c>
      <c r="C70" s="6" t="s">
        <v>435</v>
      </c>
      <c r="D70" s="6" t="s">
        <v>597</v>
      </c>
      <c r="E70" s="10" t="s">
        <v>598</v>
      </c>
      <c r="F70" s="6" t="s">
        <v>444</v>
      </c>
      <c r="G70" s="6" t="s">
        <v>62</v>
      </c>
      <c r="H70" s="7" t="s">
        <v>599</v>
      </c>
    </row>
    <row r="71" customFormat="false" ht="15" hidden="false" customHeight="false" outlineLevel="0" collapsed="false">
      <c r="A71" s="8" t="s">
        <v>215</v>
      </c>
      <c r="B71" s="8" t="s">
        <v>216</v>
      </c>
      <c r="C71" s="8" t="s">
        <v>421</v>
      </c>
      <c r="D71" s="8" t="s">
        <v>422</v>
      </c>
      <c r="E71" s="11" t="s">
        <v>600</v>
      </c>
      <c r="F71" s="8" t="s">
        <v>570</v>
      </c>
      <c r="G71" s="8" t="s">
        <v>59</v>
      </c>
      <c r="H71" s="9"/>
    </row>
    <row r="72" customFormat="false" ht="15" hidden="false" customHeight="false" outlineLevel="0" collapsed="false">
      <c r="A72" s="6" t="s">
        <v>215</v>
      </c>
      <c r="B72" s="6" t="s">
        <v>216</v>
      </c>
      <c r="C72" s="6" t="s">
        <v>463</v>
      </c>
      <c r="D72" s="6" t="s">
        <v>422</v>
      </c>
      <c r="E72" s="10" t="s">
        <v>601</v>
      </c>
      <c r="F72" s="6" t="s">
        <v>602</v>
      </c>
      <c r="G72" s="6" t="s">
        <v>59</v>
      </c>
      <c r="H72" s="7"/>
    </row>
    <row r="73" customFormat="false" ht="15" hidden="false" customHeight="false" outlineLevel="0" collapsed="false">
      <c r="A73" s="8" t="s">
        <v>215</v>
      </c>
      <c r="B73" s="8" t="s">
        <v>216</v>
      </c>
      <c r="C73" s="8" t="s">
        <v>466</v>
      </c>
      <c r="D73" s="8" t="s">
        <v>422</v>
      </c>
      <c r="E73" s="11" t="s">
        <v>603</v>
      </c>
      <c r="F73" s="8" t="s">
        <v>604</v>
      </c>
      <c r="G73" s="8" t="s">
        <v>59</v>
      </c>
      <c r="H73" s="9" t="s">
        <v>605</v>
      </c>
    </row>
    <row r="74" customFormat="false" ht="15" hidden="false" customHeight="false" outlineLevel="0" collapsed="false">
      <c r="A74" s="6" t="s">
        <v>215</v>
      </c>
      <c r="B74" s="6" t="s">
        <v>216</v>
      </c>
      <c r="C74" s="6" t="s">
        <v>421</v>
      </c>
      <c r="D74" s="6" t="s">
        <v>606</v>
      </c>
      <c r="E74" s="10" t="s">
        <v>607</v>
      </c>
      <c r="F74" s="6" t="s">
        <v>444</v>
      </c>
      <c r="G74" s="6" t="s">
        <v>59</v>
      </c>
      <c r="H74" s="7" t="s">
        <v>608</v>
      </c>
    </row>
    <row r="75" customFormat="false" ht="15" hidden="false" customHeight="false" outlineLevel="0" collapsed="false">
      <c r="A75" s="8" t="s">
        <v>215</v>
      </c>
      <c r="B75" s="8" t="s">
        <v>216</v>
      </c>
      <c r="C75" s="8" t="s">
        <v>429</v>
      </c>
      <c r="D75" s="8" t="s">
        <v>606</v>
      </c>
      <c r="E75" s="11" t="s">
        <v>609</v>
      </c>
      <c r="F75" s="8" t="s">
        <v>444</v>
      </c>
      <c r="G75" s="8" t="s">
        <v>59</v>
      </c>
      <c r="H75" s="9" t="s">
        <v>610</v>
      </c>
    </row>
    <row r="76" customFormat="false" ht="15" hidden="false" customHeight="false" outlineLevel="0" collapsed="false">
      <c r="A76" s="6" t="s">
        <v>215</v>
      </c>
      <c r="B76" s="6" t="s">
        <v>216</v>
      </c>
      <c r="C76" s="6" t="s">
        <v>435</v>
      </c>
      <c r="D76" s="6" t="s">
        <v>611</v>
      </c>
      <c r="E76" s="10" t="s">
        <v>612</v>
      </c>
      <c r="F76" s="6" t="s">
        <v>444</v>
      </c>
      <c r="G76" s="6" t="s">
        <v>62</v>
      </c>
      <c r="H76" s="7" t="s">
        <v>613</v>
      </c>
    </row>
    <row r="77" customFormat="false" ht="15" hidden="false" customHeight="false" outlineLevel="0" collapsed="false">
      <c r="A77" s="8" t="s">
        <v>215</v>
      </c>
      <c r="B77" s="8" t="s">
        <v>216</v>
      </c>
      <c r="C77" s="8" t="s">
        <v>435</v>
      </c>
      <c r="D77" s="8" t="s">
        <v>614</v>
      </c>
      <c r="E77" s="11" t="s">
        <v>615</v>
      </c>
      <c r="F77" s="8" t="s">
        <v>444</v>
      </c>
      <c r="G77" s="8" t="s">
        <v>59</v>
      </c>
      <c r="H77" s="9" t="s">
        <v>616</v>
      </c>
    </row>
    <row r="78" customFormat="false" ht="15" hidden="false" customHeight="false" outlineLevel="0" collapsed="false">
      <c r="A78" s="6" t="s">
        <v>215</v>
      </c>
      <c r="B78" s="6" t="s">
        <v>216</v>
      </c>
      <c r="C78" s="6" t="s">
        <v>466</v>
      </c>
      <c r="D78" s="6" t="s">
        <v>617</v>
      </c>
      <c r="E78" s="10" t="s">
        <v>618</v>
      </c>
      <c r="F78" s="6" t="s">
        <v>604</v>
      </c>
      <c r="G78" s="6" t="s">
        <v>59</v>
      </c>
      <c r="H78" s="7" t="s">
        <v>619</v>
      </c>
    </row>
    <row r="79" customFormat="false" ht="15" hidden="false" customHeight="false" outlineLevel="0" collapsed="false">
      <c r="A79" s="8" t="s">
        <v>226</v>
      </c>
      <c r="B79" s="8" t="s">
        <v>227</v>
      </c>
      <c r="C79" s="8" t="s">
        <v>421</v>
      </c>
      <c r="D79" s="8" t="s">
        <v>422</v>
      </c>
      <c r="E79" s="11" t="s">
        <v>620</v>
      </c>
      <c r="F79" s="8" t="s">
        <v>570</v>
      </c>
      <c r="G79" s="8" t="s">
        <v>59</v>
      </c>
      <c r="H79" s="9"/>
    </row>
    <row r="80" customFormat="false" ht="15" hidden="false" customHeight="false" outlineLevel="0" collapsed="false">
      <c r="A80" s="6" t="s">
        <v>226</v>
      </c>
      <c r="B80" s="6" t="s">
        <v>227</v>
      </c>
      <c r="C80" s="6" t="s">
        <v>435</v>
      </c>
      <c r="D80" s="6" t="s">
        <v>621</v>
      </c>
      <c r="E80" s="10" t="s">
        <v>622</v>
      </c>
      <c r="F80" s="6" t="s">
        <v>623</v>
      </c>
      <c r="G80" s="6" t="s">
        <v>59</v>
      </c>
      <c r="H80" s="7" t="s">
        <v>624</v>
      </c>
    </row>
    <row r="81" customFormat="false" ht="15" hidden="false" customHeight="false" outlineLevel="0" collapsed="false">
      <c r="A81" s="8" t="s">
        <v>226</v>
      </c>
      <c r="B81" s="8" t="s">
        <v>227</v>
      </c>
      <c r="C81" s="8" t="s">
        <v>435</v>
      </c>
      <c r="D81" s="8" t="s">
        <v>625</v>
      </c>
      <c r="E81" s="11" t="s">
        <v>626</v>
      </c>
      <c r="F81" s="8" t="s">
        <v>444</v>
      </c>
      <c r="G81" s="8" t="s">
        <v>62</v>
      </c>
      <c r="H81" s="9" t="s">
        <v>627</v>
      </c>
    </row>
    <row r="82" customFormat="false" ht="15" hidden="false" customHeight="false" outlineLevel="0" collapsed="false">
      <c r="A82" s="6" t="s">
        <v>226</v>
      </c>
      <c r="B82" s="6" t="s">
        <v>227</v>
      </c>
      <c r="C82" s="6" t="s">
        <v>435</v>
      </c>
      <c r="D82" s="6" t="s">
        <v>606</v>
      </c>
      <c r="E82" s="10" t="s">
        <v>628</v>
      </c>
      <c r="F82" s="6" t="s">
        <v>444</v>
      </c>
      <c r="G82" s="6" t="s">
        <v>59</v>
      </c>
      <c r="H82" s="7" t="s">
        <v>629</v>
      </c>
    </row>
    <row r="83" customFormat="false" ht="15" hidden="false" customHeight="false" outlineLevel="0" collapsed="false">
      <c r="A83" s="8" t="s">
        <v>226</v>
      </c>
      <c r="B83" s="8" t="s">
        <v>227</v>
      </c>
      <c r="C83" s="8" t="s">
        <v>435</v>
      </c>
      <c r="D83" s="8" t="s">
        <v>439</v>
      </c>
      <c r="E83" s="11" t="s">
        <v>630</v>
      </c>
      <c r="F83" s="8" t="s">
        <v>444</v>
      </c>
      <c r="G83" s="8" t="s">
        <v>59</v>
      </c>
      <c r="H83" s="9" t="s">
        <v>631</v>
      </c>
    </row>
    <row r="84" customFormat="false" ht="15" hidden="false" customHeight="false" outlineLevel="0" collapsed="false">
      <c r="A84" s="6" t="s">
        <v>233</v>
      </c>
      <c r="B84" s="6" t="s">
        <v>234</v>
      </c>
      <c r="C84" s="6" t="s">
        <v>466</v>
      </c>
      <c r="D84" s="6" t="s">
        <v>422</v>
      </c>
      <c r="E84" s="10" t="s">
        <v>632</v>
      </c>
      <c r="F84" s="6" t="s">
        <v>576</v>
      </c>
      <c r="G84" s="6" t="s">
        <v>62</v>
      </c>
      <c r="H84" s="7"/>
    </row>
    <row r="85" customFormat="false" ht="15" hidden="false" customHeight="false" outlineLevel="0" collapsed="false">
      <c r="A85" s="8" t="s">
        <v>233</v>
      </c>
      <c r="B85" s="8" t="s">
        <v>234</v>
      </c>
      <c r="C85" s="8" t="s">
        <v>435</v>
      </c>
      <c r="D85" s="8" t="s">
        <v>436</v>
      </c>
      <c r="E85" s="11" t="s">
        <v>633</v>
      </c>
      <c r="F85" s="8" t="s">
        <v>444</v>
      </c>
      <c r="G85" s="8" t="s">
        <v>62</v>
      </c>
      <c r="H85" s="9" t="s">
        <v>634</v>
      </c>
    </row>
    <row r="86" customFormat="false" ht="15" hidden="false" customHeight="false" outlineLevel="0" collapsed="false">
      <c r="A86" s="6" t="s">
        <v>233</v>
      </c>
      <c r="B86" s="6" t="s">
        <v>234</v>
      </c>
      <c r="C86" s="6" t="s">
        <v>466</v>
      </c>
      <c r="D86" s="6" t="s">
        <v>635</v>
      </c>
      <c r="E86" s="10" t="s">
        <v>636</v>
      </c>
      <c r="F86" s="6" t="s">
        <v>637</v>
      </c>
      <c r="G86" s="6" t="s">
        <v>62</v>
      </c>
      <c r="H86" s="7" t="s">
        <v>638</v>
      </c>
    </row>
    <row r="87" customFormat="false" ht="15" hidden="false" customHeight="false" outlineLevel="0" collapsed="false">
      <c r="A87" s="8" t="s">
        <v>239</v>
      </c>
      <c r="B87" s="8" t="s">
        <v>240</v>
      </c>
      <c r="C87" s="8" t="s">
        <v>435</v>
      </c>
      <c r="D87" s="8" t="s">
        <v>639</v>
      </c>
      <c r="E87" s="11" t="s">
        <v>640</v>
      </c>
      <c r="F87" s="8" t="s">
        <v>641</v>
      </c>
      <c r="G87" s="8" t="s">
        <v>59</v>
      </c>
      <c r="H87" s="9" t="s">
        <v>642</v>
      </c>
    </row>
    <row r="88" customFormat="false" ht="15" hidden="false" customHeight="false" outlineLevel="0" collapsed="false">
      <c r="A88" s="6" t="s">
        <v>239</v>
      </c>
      <c r="B88" s="6" t="s">
        <v>240</v>
      </c>
      <c r="C88" s="6" t="s">
        <v>421</v>
      </c>
      <c r="D88" s="6" t="s">
        <v>422</v>
      </c>
      <c r="E88" s="10" t="s">
        <v>643</v>
      </c>
      <c r="F88" s="6" t="s">
        <v>570</v>
      </c>
      <c r="G88" s="6" t="s">
        <v>62</v>
      </c>
      <c r="H88" s="7"/>
    </row>
    <row r="89" customFormat="false" ht="15" hidden="false" customHeight="false" outlineLevel="0" collapsed="false">
      <c r="A89" s="8" t="s">
        <v>245</v>
      </c>
      <c r="B89" s="8" t="s">
        <v>246</v>
      </c>
      <c r="C89" s="8" t="s">
        <v>435</v>
      </c>
      <c r="D89" s="8" t="s">
        <v>422</v>
      </c>
      <c r="E89" s="11" t="s">
        <v>644</v>
      </c>
      <c r="F89" s="8" t="s">
        <v>645</v>
      </c>
      <c r="G89" s="8" t="s">
        <v>59</v>
      </c>
      <c r="H89" s="9" t="s">
        <v>646</v>
      </c>
    </row>
    <row r="90" customFormat="false" ht="15" hidden="false" customHeight="false" outlineLevel="0" collapsed="false">
      <c r="A90" s="6" t="s">
        <v>245</v>
      </c>
      <c r="B90" s="6" t="s">
        <v>246</v>
      </c>
      <c r="C90" s="6" t="s">
        <v>435</v>
      </c>
      <c r="D90" s="6" t="s">
        <v>647</v>
      </c>
      <c r="E90" s="10" t="s">
        <v>648</v>
      </c>
      <c r="F90" s="6" t="s">
        <v>444</v>
      </c>
      <c r="G90" s="6" t="s">
        <v>59</v>
      </c>
      <c r="H90" s="7" t="s">
        <v>649</v>
      </c>
    </row>
    <row r="91" customFormat="false" ht="15" hidden="false" customHeight="false" outlineLevel="0" collapsed="false">
      <c r="A91" s="8" t="s">
        <v>252</v>
      </c>
      <c r="B91" s="8" t="s">
        <v>650</v>
      </c>
      <c r="C91" s="8" t="s">
        <v>435</v>
      </c>
      <c r="D91" s="8" t="s">
        <v>422</v>
      </c>
      <c r="E91" s="11" t="s">
        <v>651</v>
      </c>
      <c r="F91" s="8" t="s">
        <v>652</v>
      </c>
      <c r="G91" s="8" t="s">
        <v>62</v>
      </c>
      <c r="H91" s="9"/>
    </row>
    <row r="92" customFormat="false" ht="15" hidden="false" customHeight="false" outlineLevel="0" collapsed="false">
      <c r="A92" s="6" t="s">
        <v>252</v>
      </c>
      <c r="B92" s="6" t="s">
        <v>650</v>
      </c>
      <c r="C92" s="6" t="s">
        <v>435</v>
      </c>
      <c r="D92" s="6" t="s">
        <v>606</v>
      </c>
      <c r="E92" s="10" t="s">
        <v>653</v>
      </c>
      <c r="F92" s="6" t="s">
        <v>444</v>
      </c>
      <c r="G92" s="6" t="s">
        <v>62</v>
      </c>
      <c r="H92" s="7"/>
    </row>
    <row r="93" customFormat="false" ht="15" hidden="false" customHeight="false" outlineLevel="0" collapsed="false">
      <c r="A93" s="8" t="s">
        <v>252</v>
      </c>
      <c r="B93" s="8" t="s">
        <v>650</v>
      </c>
      <c r="C93" s="8" t="s">
        <v>435</v>
      </c>
      <c r="D93" s="8" t="s">
        <v>654</v>
      </c>
      <c r="E93" s="11" t="s">
        <v>655</v>
      </c>
      <c r="F93" s="8" t="s">
        <v>444</v>
      </c>
      <c r="G93" s="8" t="s">
        <v>62</v>
      </c>
      <c r="H93" s="9" t="s">
        <v>656</v>
      </c>
    </row>
    <row r="94" customFormat="false" ht="15" hidden="false" customHeight="false" outlineLevel="0" collapsed="false">
      <c r="A94" s="6" t="s">
        <v>274</v>
      </c>
      <c r="B94" s="6" t="s">
        <v>657</v>
      </c>
      <c r="C94" s="6" t="s">
        <v>435</v>
      </c>
      <c r="D94" s="6" t="s">
        <v>639</v>
      </c>
      <c r="E94" s="10" t="s">
        <v>658</v>
      </c>
      <c r="F94" s="6" t="s">
        <v>659</v>
      </c>
      <c r="G94" s="6" t="s">
        <v>59</v>
      </c>
      <c r="H94" s="7" t="s">
        <v>660</v>
      </c>
    </row>
    <row r="95" customFormat="false" ht="22.35" hidden="false" customHeight="false" outlineLevel="0" collapsed="false">
      <c r="A95" s="8" t="s">
        <v>274</v>
      </c>
      <c r="B95" s="8" t="s">
        <v>657</v>
      </c>
      <c r="C95" s="8" t="s">
        <v>435</v>
      </c>
      <c r="D95" s="8" t="s">
        <v>661</v>
      </c>
      <c r="E95" s="11" t="s">
        <v>662</v>
      </c>
      <c r="F95" s="8" t="s">
        <v>444</v>
      </c>
      <c r="G95" s="8" t="s">
        <v>59</v>
      </c>
      <c r="H95" s="9" t="s">
        <v>663</v>
      </c>
    </row>
    <row r="96" customFormat="false" ht="15" hidden="false" customHeight="false" outlineLevel="0" collapsed="false">
      <c r="A96" s="6" t="s">
        <v>274</v>
      </c>
      <c r="B96" s="6" t="s">
        <v>657</v>
      </c>
      <c r="C96" s="6" t="s">
        <v>435</v>
      </c>
      <c r="D96" s="6" t="s">
        <v>664</v>
      </c>
      <c r="E96" s="10" t="s">
        <v>665</v>
      </c>
      <c r="F96" s="6" t="s">
        <v>444</v>
      </c>
      <c r="G96" s="6" t="s">
        <v>59</v>
      </c>
      <c r="H96" s="7" t="s">
        <v>666</v>
      </c>
    </row>
    <row r="97" customFormat="false" ht="15" hidden="false" customHeight="false" outlineLevel="0" collapsed="false">
      <c r="A97" s="8" t="s">
        <v>293</v>
      </c>
      <c r="B97" s="8" t="s">
        <v>294</v>
      </c>
      <c r="C97" s="8" t="s">
        <v>435</v>
      </c>
      <c r="D97" s="8" t="s">
        <v>439</v>
      </c>
      <c r="E97" s="11" t="s">
        <v>667</v>
      </c>
      <c r="F97" s="8" t="s">
        <v>592</v>
      </c>
      <c r="G97" s="8" t="s">
        <v>59</v>
      </c>
      <c r="H97" s="9" t="s">
        <v>668</v>
      </c>
    </row>
    <row r="98" customFormat="false" ht="15" hidden="false" customHeight="false" outlineLevel="0" collapsed="false">
      <c r="A98" s="6" t="s">
        <v>293</v>
      </c>
      <c r="B98" s="6" t="s">
        <v>294</v>
      </c>
      <c r="C98" s="6" t="s">
        <v>435</v>
      </c>
      <c r="D98" s="6" t="s">
        <v>669</v>
      </c>
      <c r="E98" s="10" t="s">
        <v>670</v>
      </c>
      <c r="F98" s="6" t="s">
        <v>444</v>
      </c>
      <c r="G98" s="6" t="s">
        <v>62</v>
      </c>
      <c r="H98" s="7" t="s">
        <v>671</v>
      </c>
    </row>
    <row r="99" customFormat="false" ht="15" hidden="false" customHeight="false" outlineLevel="0" collapsed="false">
      <c r="A99" s="8" t="s">
        <v>300</v>
      </c>
      <c r="B99" s="8" t="s">
        <v>301</v>
      </c>
      <c r="C99" s="8" t="s">
        <v>435</v>
      </c>
      <c r="D99" s="8" t="s">
        <v>524</v>
      </c>
      <c r="E99" s="11" t="s">
        <v>672</v>
      </c>
      <c r="F99" s="8" t="s">
        <v>673</v>
      </c>
      <c r="G99" s="8" t="s">
        <v>62</v>
      </c>
      <c r="H99" s="9" t="s">
        <v>674</v>
      </c>
    </row>
    <row r="100" customFormat="false" ht="15" hidden="false" customHeight="false" outlineLevel="0" collapsed="false">
      <c r="A100" s="6" t="s">
        <v>300</v>
      </c>
      <c r="B100" s="6" t="s">
        <v>301</v>
      </c>
      <c r="C100" s="6" t="s">
        <v>435</v>
      </c>
      <c r="D100" s="6" t="s">
        <v>675</v>
      </c>
      <c r="E100" s="10" t="s">
        <v>676</v>
      </c>
      <c r="F100" s="6" t="s">
        <v>673</v>
      </c>
      <c r="G100" s="6" t="s">
        <v>62</v>
      </c>
      <c r="H100" s="7"/>
    </row>
    <row r="101" customFormat="false" ht="15" hidden="false" customHeight="false" outlineLevel="0" collapsed="false">
      <c r="A101" s="8" t="s">
        <v>300</v>
      </c>
      <c r="B101" s="8" t="s">
        <v>301</v>
      </c>
      <c r="C101" s="8" t="s">
        <v>435</v>
      </c>
      <c r="D101" s="8" t="s">
        <v>502</v>
      </c>
      <c r="E101" s="11" t="s">
        <v>677</v>
      </c>
      <c r="F101" s="8" t="s">
        <v>444</v>
      </c>
      <c r="G101" s="8" t="s">
        <v>62</v>
      </c>
      <c r="H101" s="9" t="s">
        <v>678</v>
      </c>
    </row>
    <row r="102" customFormat="false" ht="15" hidden="false" customHeight="false" outlineLevel="0" collapsed="false">
      <c r="A102" s="6" t="s">
        <v>322</v>
      </c>
      <c r="B102" s="6" t="s">
        <v>323</v>
      </c>
      <c r="C102" s="6" t="s">
        <v>435</v>
      </c>
      <c r="D102" s="6" t="s">
        <v>679</v>
      </c>
      <c r="E102" s="10" t="s">
        <v>680</v>
      </c>
      <c r="F102" s="6" t="s">
        <v>681</v>
      </c>
      <c r="G102" s="6" t="s">
        <v>59</v>
      </c>
      <c r="H102" s="7" t="s">
        <v>682</v>
      </c>
    </row>
    <row r="103" customFormat="false" ht="15" hidden="false" customHeight="false" outlineLevel="0" collapsed="false">
      <c r="A103" s="8" t="s">
        <v>322</v>
      </c>
      <c r="B103" s="8" t="s">
        <v>323</v>
      </c>
      <c r="C103" s="8" t="s">
        <v>421</v>
      </c>
      <c r="D103" s="8" t="s">
        <v>683</v>
      </c>
      <c r="E103" s="11" t="s">
        <v>684</v>
      </c>
      <c r="F103" s="8" t="s">
        <v>685</v>
      </c>
      <c r="G103" s="8" t="s">
        <v>59</v>
      </c>
      <c r="H103" s="9" t="s">
        <v>686</v>
      </c>
    </row>
    <row r="104" customFormat="false" ht="15" hidden="false" customHeight="false" outlineLevel="0" collapsed="false">
      <c r="A104" s="6" t="s">
        <v>322</v>
      </c>
      <c r="B104" s="6" t="s">
        <v>323</v>
      </c>
      <c r="C104" s="6" t="s">
        <v>463</v>
      </c>
      <c r="D104" s="6" t="s">
        <v>683</v>
      </c>
      <c r="E104" s="10" t="s">
        <v>687</v>
      </c>
      <c r="F104" s="6" t="s">
        <v>685</v>
      </c>
      <c r="G104" s="6" t="s">
        <v>59</v>
      </c>
      <c r="H104" s="7"/>
    </row>
    <row r="105" customFormat="false" ht="15" hidden="false" customHeight="false" outlineLevel="0" collapsed="false">
      <c r="A105" s="8" t="s">
        <v>322</v>
      </c>
      <c r="B105" s="8" t="s">
        <v>323</v>
      </c>
      <c r="C105" s="8" t="s">
        <v>466</v>
      </c>
      <c r="D105" s="8" t="s">
        <v>683</v>
      </c>
      <c r="E105" s="11" t="s">
        <v>688</v>
      </c>
      <c r="F105" s="8" t="s">
        <v>685</v>
      </c>
      <c r="G105" s="8" t="s">
        <v>59</v>
      </c>
      <c r="H105" s="9"/>
    </row>
    <row r="106" customFormat="false" ht="15" hidden="false" customHeight="false" outlineLevel="0" collapsed="false">
      <c r="A106" s="6" t="s">
        <v>322</v>
      </c>
      <c r="B106" s="6" t="s">
        <v>323</v>
      </c>
      <c r="C106" s="6" t="s">
        <v>435</v>
      </c>
      <c r="D106" s="6" t="s">
        <v>689</v>
      </c>
      <c r="E106" s="10" t="s">
        <v>690</v>
      </c>
      <c r="F106" s="6" t="s">
        <v>444</v>
      </c>
      <c r="G106" s="6" t="s">
        <v>59</v>
      </c>
      <c r="H106" s="7" t="s">
        <v>691</v>
      </c>
    </row>
    <row r="107" customFormat="false" ht="15" hidden="false" customHeight="false" outlineLevel="0" collapsed="false">
      <c r="A107" s="8" t="s">
        <v>322</v>
      </c>
      <c r="B107" s="8" t="s">
        <v>323</v>
      </c>
      <c r="C107" s="8" t="s">
        <v>435</v>
      </c>
      <c r="D107" s="8" t="s">
        <v>692</v>
      </c>
      <c r="E107" s="11" t="s">
        <v>693</v>
      </c>
      <c r="F107" s="8" t="s">
        <v>444</v>
      </c>
      <c r="G107" s="8" t="s">
        <v>62</v>
      </c>
      <c r="H107" s="9" t="s">
        <v>694</v>
      </c>
    </row>
    <row r="108" customFormat="false" ht="15" hidden="false" customHeight="false" outlineLevel="0" collapsed="false">
      <c r="A108" s="6" t="s">
        <v>339</v>
      </c>
      <c r="B108" s="6" t="s">
        <v>340</v>
      </c>
      <c r="C108" s="6" t="s">
        <v>435</v>
      </c>
      <c r="D108" s="6" t="s">
        <v>695</v>
      </c>
      <c r="E108" s="10" t="s">
        <v>696</v>
      </c>
      <c r="F108" s="6" t="s">
        <v>697</v>
      </c>
      <c r="G108" s="6" t="s">
        <v>59</v>
      </c>
      <c r="H108" s="7" t="s">
        <v>698</v>
      </c>
    </row>
    <row r="109" customFormat="false" ht="15" hidden="false" customHeight="false" outlineLevel="0" collapsed="false">
      <c r="A109" s="8" t="s">
        <v>356</v>
      </c>
      <c r="B109" s="8" t="s">
        <v>357</v>
      </c>
      <c r="C109" s="8" t="s">
        <v>435</v>
      </c>
      <c r="D109" s="8" t="s">
        <v>695</v>
      </c>
      <c r="E109" s="11" t="s">
        <v>699</v>
      </c>
      <c r="F109" s="8" t="s">
        <v>700</v>
      </c>
      <c r="G109" s="8" t="s">
        <v>62</v>
      </c>
      <c r="H109" s="9" t="s">
        <v>701</v>
      </c>
    </row>
    <row r="110" customFormat="false" ht="15" hidden="false" customHeight="false" outlineLevel="0" collapsed="false">
      <c r="A110" s="6" t="s">
        <v>364</v>
      </c>
      <c r="B110" s="6" t="s">
        <v>365</v>
      </c>
      <c r="C110" s="6" t="s">
        <v>435</v>
      </c>
      <c r="D110" s="6" t="s">
        <v>422</v>
      </c>
      <c r="E110" s="10" t="s">
        <v>702</v>
      </c>
      <c r="F110" s="6" t="s">
        <v>703</v>
      </c>
      <c r="G110" s="6" t="s">
        <v>59</v>
      </c>
      <c r="H110" s="7"/>
    </row>
    <row r="111" customFormat="false" ht="15" hidden="false" customHeight="false" outlineLevel="0" collapsed="false">
      <c r="A111" s="8" t="s">
        <v>364</v>
      </c>
      <c r="B111" s="8" t="s">
        <v>365</v>
      </c>
      <c r="C111" s="8" t="s">
        <v>435</v>
      </c>
      <c r="D111" s="8" t="s">
        <v>439</v>
      </c>
      <c r="E111" s="11" t="s">
        <v>704</v>
      </c>
      <c r="F111" s="8" t="s">
        <v>444</v>
      </c>
      <c r="G111" s="8" t="s">
        <v>59</v>
      </c>
      <c r="H111" s="9" t="s">
        <v>705</v>
      </c>
    </row>
    <row r="112" customFormat="false" ht="15" hidden="false" customHeight="false" outlineLevel="0" collapsed="false">
      <c r="A112" s="6" t="s">
        <v>364</v>
      </c>
      <c r="B112" s="6" t="s">
        <v>365</v>
      </c>
      <c r="C112" s="6" t="s">
        <v>435</v>
      </c>
      <c r="D112" s="6" t="s">
        <v>502</v>
      </c>
      <c r="E112" s="10" t="s">
        <v>706</v>
      </c>
      <c r="F112" s="6" t="s">
        <v>444</v>
      </c>
      <c r="G112" s="6" t="s">
        <v>59</v>
      </c>
      <c r="H112" s="7" t="s">
        <v>707</v>
      </c>
    </row>
    <row r="113" customFormat="false" ht="15" hidden="false" customHeight="false" outlineLevel="0" collapsed="false">
      <c r="A113" s="8" t="s">
        <v>364</v>
      </c>
      <c r="B113" s="8" t="s">
        <v>365</v>
      </c>
      <c r="C113" s="8" t="s">
        <v>435</v>
      </c>
      <c r="D113" s="8" t="s">
        <v>708</v>
      </c>
      <c r="E113" s="11" t="s">
        <v>709</v>
      </c>
      <c r="F113" s="8" t="s">
        <v>444</v>
      </c>
      <c r="G113" s="8" t="s">
        <v>59</v>
      </c>
      <c r="H113" s="9" t="s">
        <v>710</v>
      </c>
    </row>
    <row r="114" customFormat="false" ht="22.35" hidden="false" customHeight="false" outlineLevel="0" collapsed="false">
      <c r="A114" s="6" t="s">
        <v>364</v>
      </c>
      <c r="B114" s="6" t="s">
        <v>365</v>
      </c>
      <c r="C114" s="6" t="s">
        <v>435</v>
      </c>
      <c r="D114" s="6" t="s">
        <v>711</v>
      </c>
      <c r="E114" s="10" t="s">
        <v>712</v>
      </c>
      <c r="F114" s="6" t="s">
        <v>444</v>
      </c>
      <c r="G114" s="6" t="s">
        <v>59</v>
      </c>
      <c r="H114" s="7" t="s">
        <v>713</v>
      </c>
    </row>
    <row r="115" customFormat="false" ht="15" hidden="false" customHeight="false" outlineLevel="0" collapsed="false">
      <c r="A115" s="8" t="s">
        <v>364</v>
      </c>
      <c r="B115" s="8" t="s">
        <v>365</v>
      </c>
      <c r="C115" s="8" t="s">
        <v>435</v>
      </c>
      <c r="D115" s="8" t="s">
        <v>714</v>
      </c>
      <c r="E115" s="11" t="s">
        <v>715</v>
      </c>
      <c r="F115" s="8" t="s">
        <v>444</v>
      </c>
      <c r="G115" s="8" t="s">
        <v>59</v>
      </c>
      <c r="H115" s="9"/>
    </row>
    <row r="116" customFormat="false" ht="15" hidden="false" customHeight="false" outlineLevel="0" collapsed="false">
      <c r="A116" s="6" t="s">
        <v>364</v>
      </c>
      <c r="B116" s="6" t="s">
        <v>365</v>
      </c>
      <c r="C116" s="6" t="s">
        <v>435</v>
      </c>
      <c r="D116" s="6" t="s">
        <v>557</v>
      </c>
      <c r="E116" s="10" t="s">
        <v>716</v>
      </c>
      <c r="F116" s="6" t="s">
        <v>444</v>
      </c>
      <c r="G116" s="6" t="s">
        <v>59</v>
      </c>
      <c r="H116" s="7" t="s">
        <v>717</v>
      </c>
    </row>
    <row r="117" customFormat="false" ht="15" hidden="false" customHeight="false" outlineLevel="0" collapsed="false">
      <c r="A117" s="8" t="s">
        <v>364</v>
      </c>
      <c r="B117" s="8" t="s">
        <v>365</v>
      </c>
      <c r="C117" s="8" t="s">
        <v>435</v>
      </c>
      <c r="D117" s="8" t="s">
        <v>718</v>
      </c>
      <c r="E117" s="11" t="s">
        <v>719</v>
      </c>
      <c r="F117" s="8" t="s">
        <v>444</v>
      </c>
      <c r="G117" s="8" t="s">
        <v>59</v>
      </c>
      <c r="H117" s="9" t="s">
        <v>720</v>
      </c>
    </row>
    <row r="118" customFormat="false" ht="15" hidden="false" customHeight="false" outlineLevel="0" collapsed="false">
      <c r="A118" s="6" t="s">
        <v>368</v>
      </c>
      <c r="B118" s="6" t="s">
        <v>369</v>
      </c>
      <c r="C118" s="6" t="s">
        <v>435</v>
      </c>
      <c r="D118" s="6" t="s">
        <v>422</v>
      </c>
      <c r="E118" s="10" t="s">
        <v>721</v>
      </c>
      <c r="F118" s="6" t="s">
        <v>485</v>
      </c>
      <c r="G118" s="6" t="s">
        <v>59</v>
      </c>
      <c r="H118" s="7"/>
    </row>
    <row r="119" customFormat="false" ht="15" hidden="false" customHeight="false" outlineLevel="0" collapsed="false">
      <c r="A119" s="8" t="s">
        <v>368</v>
      </c>
      <c r="B119" s="8" t="s">
        <v>369</v>
      </c>
      <c r="C119" s="8" t="s">
        <v>435</v>
      </c>
      <c r="D119" s="8" t="s">
        <v>439</v>
      </c>
      <c r="E119" s="11" t="s">
        <v>722</v>
      </c>
      <c r="F119" s="8" t="s">
        <v>444</v>
      </c>
      <c r="G119" s="8" t="s">
        <v>59</v>
      </c>
      <c r="H119" s="9" t="s">
        <v>723</v>
      </c>
    </row>
    <row r="120" customFormat="false" ht="15" hidden="false" customHeight="false" outlineLevel="0" collapsed="false">
      <c r="A120" s="6" t="s">
        <v>368</v>
      </c>
      <c r="B120" s="6" t="s">
        <v>369</v>
      </c>
      <c r="C120" s="6" t="s">
        <v>435</v>
      </c>
      <c r="D120" s="6" t="s">
        <v>502</v>
      </c>
      <c r="E120" s="10" t="s">
        <v>724</v>
      </c>
      <c r="F120" s="6" t="s">
        <v>444</v>
      </c>
      <c r="G120" s="6" t="s">
        <v>59</v>
      </c>
      <c r="H120" s="7" t="s">
        <v>725</v>
      </c>
    </row>
    <row r="121" customFormat="false" ht="15" hidden="false" customHeight="false" outlineLevel="0" collapsed="false">
      <c r="A121" s="8" t="s">
        <v>368</v>
      </c>
      <c r="B121" s="8" t="s">
        <v>369</v>
      </c>
      <c r="C121" s="8" t="s">
        <v>435</v>
      </c>
      <c r="D121" s="8" t="s">
        <v>502</v>
      </c>
      <c r="E121" s="11" t="s">
        <v>726</v>
      </c>
      <c r="F121" s="8" t="s">
        <v>444</v>
      </c>
      <c r="G121" s="8" t="s">
        <v>59</v>
      </c>
      <c r="H121" s="9" t="s">
        <v>727</v>
      </c>
    </row>
    <row r="122" customFormat="false" ht="15" hidden="false" customHeight="false" outlineLevel="0" collapsed="false">
      <c r="A122" s="6" t="s">
        <v>368</v>
      </c>
      <c r="B122" s="6" t="s">
        <v>369</v>
      </c>
      <c r="C122" s="6" t="s">
        <v>466</v>
      </c>
      <c r="D122" s="6" t="s">
        <v>728</v>
      </c>
      <c r="E122" s="10" t="s">
        <v>729</v>
      </c>
      <c r="F122" s="6" t="s">
        <v>444</v>
      </c>
      <c r="G122" s="6" t="s">
        <v>59</v>
      </c>
      <c r="H122" s="7" t="s">
        <v>730</v>
      </c>
    </row>
    <row r="123" customFormat="false" ht="15" hidden="false" customHeight="false" outlineLevel="0" collapsed="false">
      <c r="A123" s="8" t="s">
        <v>368</v>
      </c>
      <c r="B123" s="8" t="s">
        <v>369</v>
      </c>
      <c r="C123" s="8" t="s">
        <v>435</v>
      </c>
      <c r="D123" s="8" t="s">
        <v>731</v>
      </c>
      <c r="E123" s="11" t="s">
        <v>732</v>
      </c>
      <c r="F123" s="8" t="s">
        <v>444</v>
      </c>
      <c r="G123" s="8" t="s">
        <v>59</v>
      </c>
      <c r="H123" s="9" t="s">
        <v>733</v>
      </c>
    </row>
    <row r="124" customFormat="false" ht="15" hidden="false" customHeight="false" outlineLevel="0" collapsed="false">
      <c r="A124" s="6" t="s">
        <v>373</v>
      </c>
      <c r="B124" s="6" t="s">
        <v>374</v>
      </c>
      <c r="C124" s="6" t="s">
        <v>429</v>
      </c>
      <c r="D124" s="6" t="s">
        <v>439</v>
      </c>
      <c r="E124" s="10" t="s">
        <v>734</v>
      </c>
      <c r="F124" s="6" t="s">
        <v>444</v>
      </c>
      <c r="G124" s="6" t="s">
        <v>59</v>
      </c>
      <c r="H124" s="7" t="s">
        <v>735</v>
      </c>
    </row>
    <row r="125" customFormat="false" ht="15" hidden="false" customHeight="false" outlineLevel="0" collapsed="false">
      <c r="A125" s="8" t="s">
        <v>373</v>
      </c>
      <c r="B125" s="8" t="s">
        <v>374</v>
      </c>
      <c r="C125" s="8" t="s">
        <v>421</v>
      </c>
      <c r="D125" s="8" t="s">
        <v>439</v>
      </c>
      <c r="E125" s="11" t="s">
        <v>736</v>
      </c>
      <c r="F125" s="8" t="s">
        <v>444</v>
      </c>
      <c r="G125" s="8" t="s">
        <v>59</v>
      </c>
      <c r="H125" s="9"/>
    </row>
    <row r="126" customFormat="false" ht="15" hidden="false" customHeight="false" outlineLevel="0" collapsed="false">
      <c r="A126" s="6" t="s">
        <v>373</v>
      </c>
      <c r="B126" s="6" t="s">
        <v>374</v>
      </c>
      <c r="C126" s="6" t="s">
        <v>435</v>
      </c>
      <c r="D126" s="6" t="s">
        <v>661</v>
      </c>
      <c r="E126" s="10" t="s">
        <v>737</v>
      </c>
      <c r="F126" s="6" t="s">
        <v>444</v>
      </c>
      <c r="G126" s="6" t="s">
        <v>59</v>
      </c>
      <c r="H126" s="7" t="s">
        <v>738</v>
      </c>
    </row>
    <row r="127" customFormat="false" ht="22.35" hidden="false" customHeight="false" outlineLevel="0" collapsed="false">
      <c r="A127" s="8" t="s">
        <v>373</v>
      </c>
      <c r="B127" s="8" t="s">
        <v>374</v>
      </c>
      <c r="C127" s="8" t="s">
        <v>435</v>
      </c>
      <c r="D127" s="8" t="s">
        <v>502</v>
      </c>
      <c r="E127" s="11" t="s">
        <v>739</v>
      </c>
      <c r="F127" s="8" t="s">
        <v>444</v>
      </c>
      <c r="G127" s="8" t="s">
        <v>59</v>
      </c>
      <c r="H127" s="9" t="s">
        <v>740</v>
      </c>
    </row>
    <row r="128" customFormat="false" ht="15" hidden="false" customHeight="false" outlineLevel="0" collapsed="false">
      <c r="A128" s="6" t="s">
        <v>373</v>
      </c>
      <c r="B128" s="6" t="s">
        <v>374</v>
      </c>
      <c r="C128" s="6" t="s">
        <v>435</v>
      </c>
      <c r="D128" s="6" t="s">
        <v>741</v>
      </c>
      <c r="E128" s="10" t="s">
        <v>742</v>
      </c>
      <c r="F128" s="6" t="s">
        <v>444</v>
      </c>
      <c r="G128" s="6" t="s">
        <v>59</v>
      </c>
      <c r="H128" s="7" t="s">
        <v>743</v>
      </c>
    </row>
    <row r="129" customFormat="false" ht="15" hidden="false" customHeight="false" outlineLevel="0" collapsed="false">
      <c r="A129" s="8" t="s">
        <v>373</v>
      </c>
      <c r="B129" s="8" t="s">
        <v>374</v>
      </c>
      <c r="C129" s="8" t="s">
        <v>435</v>
      </c>
      <c r="D129" s="8" t="s">
        <v>544</v>
      </c>
      <c r="E129" s="11" t="s">
        <v>744</v>
      </c>
      <c r="F129" s="8" t="s">
        <v>444</v>
      </c>
      <c r="G129" s="8" t="s">
        <v>62</v>
      </c>
      <c r="H129" s="9" t="s">
        <v>745</v>
      </c>
    </row>
    <row r="130" customFormat="false" ht="15" hidden="false" customHeight="false" outlineLevel="0" collapsed="false">
      <c r="A130" s="6" t="s">
        <v>373</v>
      </c>
      <c r="B130" s="6" t="s">
        <v>374</v>
      </c>
      <c r="C130" s="6" t="s">
        <v>435</v>
      </c>
      <c r="D130" s="6" t="s">
        <v>580</v>
      </c>
      <c r="E130" s="10" t="s">
        <v>746</v>
      </c>
      <c r="F130" s="6" t="s">
        <v>444</v>
      </c>
      <c r="G130" s="6" t="s">
        <v>59</v>
      </c>
      <c r="H130" s="7" t="s">
        <v>747</v>
      </c>
    </row>
    <row r="131" customFormat="false" ht="22.35" hidden="false" customHeight="false" outlineLevel="0" collapsed="false">
      <c r="A131" s="8" t="s">
        <v>380</v>
      </c>
      <c r="B131" s="8" t="s">
        <v>381</v>
      </c>
      <c r="C131" s="8" t="s">
        <v>421</v>
      </c>
      <c r="D131" s="8" t="s">
        <v>469</v>
      </c>
      <c r="E131" s="11" t="s">
        <v>748</v>
      </c>
      <c r="F131" s="8" t="s">
        <v>749</v>
      </c>
      <c r="G131" s="8" t="s">
        <v>59</v>
      </c>
      <c r="H131" s="9" t="s">
        <v>491</v>
      </c>
    </row>
    <row r="132" customFormat="false" ht="22.35" hidden="false" customHeight="false" outlineLevel="0" collapsed="false">
      <c r="A132" s="6" t="s">
        <v>380</v>
      </c>
      <c r="B132" s="6" t="s">
        <v>381</v>
      </c>
      <c r="C132" s="6" t="s">
        <v>463</v>
      </c>
      <c r="D132" s="6" t="s">
        <v>469</v>
      </c>
      <c r="E132" s="10" t="s">
        <v>750</v>
      </c>
      <c r="F132" s="6" t="s">
        <v>749</v>
      </c>
      <c r="G132" s="6" t="s">
        <v>59</v>
      </c>
      <c r="H132" s="7"/>
    </row>
    <row r="133" customFormat="false" ht="22.35" hidden="false" customHeight="false" outlineLevel="0" collapsed="false">
      <c r="A133" s="8" t="s">
        <v>380</v>
      </c>
      <c r="B133" s="8" t="s">
        <v>381</v>
      </c>
      <c r="C133" s="8" t="s">
        <v>466</v>
      </c>
      <c r="D133" s="8" t="s">
        <v>469</v>
      </c>
      <c r="E133" s="11" t="s">
        <v>751</v>
      </c>
      <c r="F133" s="8" t="s">
        <v>749</v>
      </c>
      <c r="G133" s="8" t="s">
        <v>59</v>
      </c>
      <c r="H133" s="9"/>
    </row>
    <row r="134" customFormat="false" ht="15" hidden="false" customHeight="false" outlineLevel="0" collapsed="false">
      <c r="A134" s="6" t="s">
        <v>380</v>
      </c>
      <c r="B134" s="6" t="s">
        <v>381</v>
      </c>
      <c r="C134" s="6" t="s">
        <v>435</v>
      </c>
      <c r="D134" s="6" t="s">
        <v>661</v>
      </c>
      <c r="E134" s="10" t="s">
        <v>752</v>
      </c>
      <c r="F134" s="6" t="s">
        <v>444</v>
      </c>
      <c r="G134" s="6" t="s">
        <v>59</v>
      </c>
      <c r="H134" s="7" t="s">
        <v>753</v>
      </c>
    </row>
    <row r="135" customFormat="false" ht="15" hidden="false" customHeight="false" outlineLevel="0" collapsed="false">
      <c r="A135" s="8" t="s">
        <v>380</v>
      </c>
      <c r="B135" s="8" t="s">
        <v>381</v>
      </c>
      <c r="C135" s="8" t="s">
        <v>435</v>
      </c>
      <c r="D135" s="8" t="s">
        <v>754</v>
      </c>
      <c r="E135" s="11" t="s">
        <v>755</v>
      </c>
      <c r="F135" s="8" t="s">
        <v>756</v>
      </c>
      <c r="G135" s="8" t="s">
        <v>65</v>
      </c>
      <c r="H135" s="9" t="s">
        <v>757</v>
      </c>
    </row>
    <row r="136" customFormat="false" ht="22.35" hidden="false" customHeight="false" outlineLevel="0" collapsed="false">
      <c r="A136" s="6" t="s">
        <v>387</v>
      </c>
      <c r="B136" s="6" t="s">
        <v>388</v>
      </c>
      <c r="C136" s="6" t="s">
        <v>421</v>
      </c>
      <c r="D136" s="6" t="s">
        <v>469</v>
      </c>
      <c r="E136" s="10" t="s">
        <v>758</v>
      </c>
      <c r="F136" s="6" t="s">
        <v>749</v>
      </c>
      <c r="G136" s="6" t="s">
        <v>59</v>
      </c>
      <c r="H136" s="7" t="s">
        <v>491</v>
      </c>
    </row>
    <row r="137" customFormat="false" ht="32.8" hidden="false" customHeight="false" outlineLevel="0" collapsed="false">
      <c r="A137" s="8" t="s">
        <v>387</v>
      </c>
      <c r="B137" s="8" t="s">
        <v>388</v>
      </c>
      <c r="C137" s="8" t="s">
        <v>463</v>
      </c>
      <c r="D137" s="8" t="s">
        <v>469</v>
      </c>
      <c r="E137" s="11" t="s">
        <v>759</v>
      </c>
      <c r="F137" s="8" t="s">
        <v>749</v>
      </c>
      <c r="G137" s="8" t="s">
        <v>59</v>
      </c>
      <c r="H137" s="9"/>
    </row>
    <row r="138" customFormat="false" ht="15" hidden="false" customHeight="false" outlineLevel="0" collapsed="false">
      <c r="A138" s="6" t="s">
        <v>387</v>
      </c>
      <c r="B138" s="6" t="s">
        <v>388</v>
      </c>
      <c r="C138" s="6" t="s">
        <v>435</v>
      </c>
      <c r="D138" s="6" t="s">
        <v>760</v>
      </c>
      <c r="E138" s="10" t="s">
        <v>761</v>
      </c>
      <c r="F138" s="6" t="s">
        <v>444</v>
      </c>
      <c r="G138" s="6" t="s">
        <v>59</v>
      </c>
      <c r="H138" s="7" t="s">
        <v>762</v>
      </c>
    </row>
    <row r="139" customFormat="false" ht="15" hidden="false" customHeight="false" outlineLevel="0" collapsed="false">
      <c r="A139" s="8" t="s">
        <v>387</v>
      </c>
      <c r="B139" s="8" t="s">
        <v>388</v>
      </c>
      <c r="C139" s="8" t="s">
        <v>435</v>
      </c>
      <c r="D139" s="8" t="s">
        <v>661</v>
      </c>
      <c r="E139" s="11" t="s">
        <v>763</v>
      </c>
      <c r="F139" s="8" t="s">
        <v>444</v>
      </c>
      <c r="G139" s="8" t="s">
        <v>59</v>
      </c>
      <c r="H139" s="9"/>
    </row>
    <row r="140" customFormat="false" ht="22.35" hidden="false" customHeight="false" outlineLevel="0" collapsed="false">
      <c r="A140" s="6" t="s">
        <v>392</v>
      </c>
      <c r="B140" s="6" t="s">
        <v>393</v>
      </c>
      <c r="C140" s="6" t="s">
        <v>270</v>
      </c>
      <c r="D140" s="6" t="s">
        <v>439</v>
      </c>
      <c r="E140" s="10" t="s">
        <v>764</v>
      </c>
      <c r="F140" s="6" t="s">
        <v>765</v>
      </c>
      <c r="G140" s="6" t="s">
        <v>59</v>
      </c>
      <c r="H140" s="7" t="s">
        <v>766</v>
      </c>
    </row>
    <row r="141" customFormat="false" ht="22.35" hidden="false" customHeight="false" outlineLevel="0" collapsed="false">
      <c r="A141" s="8" t="s">
        <v>392</v>
      </c>
      <c r="B141" s="8" t="s">
        <v>393</v>
      </c>
      <c r="C141" s="8" t="s">
        <v>270</v>
      </c>
      <c r="D141" s="8" t="s">
        <v>639</v>
      </c>
      <c r="E141" s="11" t="s">
        <v>767</v>
      </c>
      <c r="F141" s="8" t="s">
        <v>768</v>
      </c>
      <c r="G141" s="8" t="s">
        <v>59</v>
      </c>
      <c r="H141" s="9" t="s">
        <v>769</v>
      </c>
    </row>
    <row r="142" customFormat="false" ht="15" hidden="false" customHeight="false" outlineLevel="0" collapsed="false">
      <c r="A142" s="6" t="s">
        <v>392</v>
      </c>
      <c r="B142" s="6" t="s">
        <v>393</v>
      </c>
      <c r="C142" s="6" t="s">
        <v>270</v>
      </c>
      <c r="D142" s="6" t="s">
        <v>639</v>
      </c>
      <c r="E142" s="10" t="s">
        <v>770</v>
      </c>
      <c r="F142" s="6" t="s">
        <v>768</v>
      </c>
      <c r="G142" s="6" t="s">
        <v>59</v>
      </c>
      <c r="H142" s="7" t="s">
        <v>771</v>
      </c>
    </row>
    <row r="143" customFormat="false" ht="22.35" hidden="false" customHeight="false" outlineLevel="0" collapsed="false">
      <c r="A143" s="8" t="s">
        <v>392</v>
      </c>
      <c r="B143" s="8" t="s">
        <v>393</v>
      </c>
      <c r="C143" s="8" t="s">
        <v>270</v>
      </c>
      <c r="D143" s="8" t="s">
        <v>639</v>
      </c>
      <c r="E143" s="11" t="s">
        <v>772</v>
      </c>
      <c r="F143" s="8" t="s">
        <v>765</v>
      </c>
      <c r="G143" s="8" t="s">
        <v>59</v>
      </c>
      <c r="H143" s="9" t="s">
        <v>773</v>
      </c>
    </row>
    <row r="144" customFormat="false" ht="15" hidden="false" customHeight="false" outlineLevel="0" collapsed="false">
      <c r="A144" s="6" t="s">
        <v>392</v>
      </c>
      <c r="B144" s="6" t="s">
        <v>393</v>
      </c>
      <c r="C144" s="6" t="s">
        <v>270</v>
      </c>
      <c r="D144" s="6" t="s">
        <v>774</v>
      </c>
      <c r="E144" s="10" t="s">
        <v>775</v>
      </c>
      <c r="F144" s="6" t="s">
        <v>444</v>
      </c>
      <c r="G144" s="6" t="s">
        <v>62</v>
      </c>
      <c r="H144" s="7" t="s">
        <v>776</v>
      </c>
    </row>
    <row r="145" customFormat="false" ht="22.35" hidden="false" customHeight="false" outlineLevel="0" collapsed="false">
      <c r="A145" s="8" t="s">
        <v>392</v>
      </c>
      <c r="B145" s="8" t="s">
        <v>393</v>
      </c>
      <c r="C145" s="8" t="s">
        <v>270</v>
      </c>
      <c r="D145" s="8" t="s">
        <v>439</v>
      </c>
      <c r="E145" s="11" t="s">
        <v>777</v>
      </c>
      <c r="F145" s="8" t="s">
        <v>768</v>
      </c>
      <c r="G145" s="8" t="s">
        <v>59</v>
      </c>
      <c r="H145" s="9" t="s">
        <v>778</v>
      </c>
    </row>
    <row r="146" customFormat="false" ht="22.35" hidden="false" customHeight="false" outlineLevel="0" collapsed="false">
      <c r="A146" s="6" t="s">
        <v>392</v>
      </c>
      <c r="B146" s="6" t="s">
        <v>393</v>
      </c>
      <c r="C146" s="6" t="s">
        <v>270</v>
      </c>
      <c r="D146" s="6" t="s">
        <v>695</v>
      </c>
      <c r="E146" s="10" t="s">
        <v>779</v>
      </c>
      <c r="F146" s="6" t="s">
        <v>768</v>
      </c>
      <c r="G146" s="6" t="s">
        <v>59</v>
      </c>
      <c r="H146" s="7" t="s">
        <v>780</v>
      </c>
    </row>
    <row r="147" customFormat="false" ht="15" hidden="false" customHeight="false" outlineLevel="0" collapsed="false">
      <c r="A147" s="8" t="s">
        <v>399</v>
      </c>
      <c r="B147" s="8" t="s">
        <v>400</v>
      </c>
      <c r="C147" s="8" t="s">
        <v>278</v>
      </c>
      <c r="D147" s="8" t="s">
        <v>639</v>
      </c>
      <c r="E147" s="11" t="s">
        <v>781</v>
      </c>
      <c r="F147" s="8" t="s">
        <v>782</v>
      </c>
      <c r="G147" s="8" t="s">
        <v>62</v>
      </c>
      <c r="H147" s="9" t="s">
        <v>783</v>
      </c>
    </row>
    <row r="148" customFormat="false" ht="22.35" hidden="false" customHeight="false" outlineLevel="0" collapsed="false">
      <c r="A148" s="6" t="s">
        <v>399</v>
      </c>
      <c r="B148" s="6" t="s">
        <v>400</v>
      </c>
      <c r="C148" s="6" t="s">
        <v>278</v>
      </c>
      <c r="D148" s="6" t="s">
        <v>784</v>
      </c>
      <c r="E148" s="10" t="s">
        <v>785</v>
      </c>
      <c r="F148" s="6" t="s">
        <v>782</v>
      </c>
      <c r="G148" s="6" t="s">
        <v>62</v>
      </c>
      <c r="H148" s="7" t="s">
        <v>786</v>
      </c>
    </row>
    <row r="149" customFormat="false" ht="22.35" hidden="false" customHeight="false" outlineLevel="0" collapsed="false">
      <c r="A149" s="8" t="s">
        <v>399</v>
      </c>
      <c r="B149" s="8" t="s">
        <v>400</v>
      </c>
      <c r="C149" s="8" t="s">
        <v>278</v>
      </c>
      <c r="D149" s="8" t="s">
        <v>664</v>
      </c>
      <c r="E149" s="11" t="s">
        <v>787</v>
      </c>
      <c r="F149" s="8" t="s">
        <v>444</v>
      </c>
      <c r="G149" s="8" t="s">
        <v>59</v>
      </c>
      <c r="H149" s="9" t="s">
        <v>788</v>
      </c>
    </row>
    <row r="150" customFormat="false" ht="15" hidden="false" customHeight="false" outlineLevel="0" collapsed="false">
      <c r="A150" s="6" t="s">
        <v>399</v>
      </c>
      <c r="B150" s="6" t="s">
        <v>400</v>
      </c>
      <c r="C150" s="6" t="s">
        <v>278</v>
      </c>
      <c r="D150" s="6" t="s">
        <v>664</v>
      </c>
      <c r="E150" s="10" t="s">
        <v>789</v>
      </c>
      <c r="F150" s="6" t="s">
        <v>444</v>
      </c>
      <c r="G150" s="6" t="s">
        <v>62</v>
      </c>
      <c r="H150" s="7" t="s">
        <v>790</v>
      </c>
    </row>
    <row r="151" customFormat="false" ht="15" hidden="false" customHeight="false" outlineLevel="0" collapsed="false">
      <c r="A151" s="8" t="s">
        <v>399</v>
      </c>
      <c r="B151" s="8" t="s">
        <v>400</v>
      </c>
      <c r="C151" s="8" t="s">
        <v>278</v>
      </c>
      <c r="D151" s="8" t="s">
        <v>442</v>
      </c>
      <c r="E151" s="11" t="s">
        <v>791</v>
      </c>
      <c r="F151" s="8" t="s">
        <v>444</v>
      </c>
      <c r="G151" s="8" t="s">
        <v>62</v>
      </c>
      <c r="H151" s="9" t="s">
        <v>792</v>
      </c>
    </row>
  </sheetData>
  <autoFilter ref="A1:H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6"/>
    <col collapsed="false" customWidth="true" hidden="false" outlineLevel="0" max="4" min="4" style="0" width="18"/>
    <col collapsed="false" customWidth="true" hidden="false" outlineLevel="0" max="5" min="5" style="0" width="72"/>
    <col collapsed="false" customWidth="true" hidden="false" outlineLevel="0" max="6" min="6" style="0" width="22"/>
    <col collapsed="false" customWidth="true" hidden="false" outlineLevel="0" max="7" min="7" style="0" width="11"/>
    <col collapsed="false" customWidth="true" hidden="false" outlineLevel="0" max="8" min="8" style="0" width="66"/>
  </cols>
  <sheetData>
    <row r="1" customFormat="false" ht="30" hidden="false" customHeight="true" outlineLevel="0" collapsed="false">
      <c r="A1" s="5" t="s">
        <v>84</v>
      </c>
      <c r="B1" s="5" t="s">
        <v>85</v>
      </c>
      <c r="C1" s="5" t="s">
        <v>417</v>
      </c>
      <c r="D1" s="5" t="s">
        <v>418</v>
      </c>
      <c r="E1" s="5" t="s">
        <v>793</v>
      </c>
      <c r="F1" s="5" t="s">
        <v>420</v>
      </c>
      <c r="G1" s="5" t="s">
        <v>69</v>
      </c>
      <c r="H1" s="5" t="s">
        <v>794</v>
      </c>
    </row>
    <row r="2" customFormat="false" ht="27.75" hidden="false" customHeight="true" outlineLevel="0" collapsed="false">
      <c r="A2" s="6" t="s">
        <v>97</v>
      </c>
      <c r="B2" s="6" t="s">
        <v>98</v>
      </c>
      <c r="C2" s="6" t="s">
        <v>435</v>
      </c>
      <c r="D2" s="6" t="s">
        <v>436</v>
      </c>
      <c r="E2" s="10" t="s">
        <v>437</v>
      </c>
      <c r="F2" s="6" t="s">
        <v>435</v>
      </c>
      <c r="G2" s="6" t="s">
        <v>59</v>
      </c>
      <c r="H2" s="7" t="s">
        <v>438</v>
      </c>
    </row>
    <row r="3" customFormat="false" ht="27.75" hidden="false" customHeight="true" outlineLevel="0" collapsed="false">
      <c r="A3" s="8" t="s">
        <v>122</v>
      </c>
      <c r="B3" s="8" t="s">
        <v>123</v>
      </c>
      <c r="C3" s="8" t="s">
        <v>435</v>
      </c>
      <c r="D3" s="8" t="s">
        <v>502</v>
      </c>
      <c r="E3" s="11" t="s">
        <v>503</v>
      </c>
      <c r="F3" s="8" t="s">
        <v>444</v>
      </c>
      <c r="G3" s="8" t="s">
        <v>62</v>
      </c>
      <c r="H3" s="9" t="s">
        <v>504</v>
      </c>
    </row>
    <row r="4" customFormat="false" ht="27.75" hidden="false" customHeight="true" outlineLevel="0" collapsed="false">
      <c r="A4" s="6" t="s">
        <v>122</v>
      </c>
      <c r="B4" s="6" t="s">
        <v>123</v>
      </c>
      <c r="C4" s="6" t="s">
        <v>435</v>
      </c>
      <c r="D4" s="6" t="s">
        <v>502</v>
      </c>
      <c r="E4" s="10" t="s">
        <v>505</v>
      </c>
      <c r="F4" s="6" t="s">
        <v>444</v>
      </c>
      <c r="G4" s="6" t="s">
        <v>59</v>
      </c>
      <c r="H4" s="7" t="s">
        <v>506</v>
      </c>
    </row>
    <row r="5" customFormat="false" ht="27.75" hidden="false" customHeight="true" outlineLevel="0" collapsed="false">
      <c r="A5" s="8" t="s">
        <v>150</v>
      </c>
      <c r="B5" s="8" t="s">
        <v>541</v>
      </c>
      <c r="C5" s="8" t="s">
        <v>435</v>
      </c>
      <c r="D5" s="8" t="s">
        <v>544</v>
      </c>
      <c r="E5" s="11" t="s">
        <v>545</v>
      </c>
      <c r="F5" s="8" t="s">
        <v>546</v>
      </c>
      <c r="G5" s="8" t="s">
        <v>59</v>
      </c>
      <c r="H5" s="9" t="s">
        <v>547</v>
      </c>
    </row>
    <row r="6" customFormat="false" ht="27.75" hidden="false" customHeight="true" outlineLevel="0" collapsed="false">
      <c r="A6" s="6" t="s">
        <v>179</v>
      </c>
      <c r="B6" s="6" t="s">
        <v>180</v>
      </c>
      <c r="C6" s="6" t="s">
        <v>435</v>
      </c>
      <c r="D6" s="6" t="s">
        <v>502</v>
      </c>
      <c r="E6" s="10" t="s">
        <v>585</v>
      </c>
      <c r="F6" s="6" t="s">
        <v>586</v>
      </c>
      <c r="G6" s="6" t="s">
        <v>62</v>
      </c>
      <c r="H6" s="7" t="s">
        <v>587</v>
      </c>
    </row>
    <row r="7" customFormat="false" ht="27.75" hidden="false" customHeight="true" outlineLevel="0" collapsed="false">
      <c r="A7" s="8" t="s">
        <v>215</v>
      </c>
      <c r="B7" s="8" t="s">
        <v>216</v>
      </c>
      <c r="C7" s="8" t="s">
        <v>435</v>
      </c>
      <c r="D7" s="8" t="s">
        <v>611</v>
      </c>
      <c r="E7" s="11" t="s">
        <v>612</v>
      </c>
      <c r="F7" s="8" t="s">
        <v>444</v>
      </c>
      <c r="G7" s="8" t="s">
        <v>62</v>
      </c>
      <c r="H7" s="9" t="s">
        <v>613</v>
      </c>
    </row>
    <row r="8" customFormat="false" ht="27.75" hidden="false" customHeight="true" outlineLevel="0" collapsed="false">
      <c r="A8" s="6" t="s">
        <v>274</v>
      </c>
      <c r="B8" s="6" t="s">
        <v>657</v>
      </c>
      <c r="C8" s="6" t="s">
        <v>435</v>
      </c>
      <c r="D8" s="6" t="s">
        <v>661</v>
      </c>
      <c r="E8" s="10" t="s">
        <v>662</v>
      </c>
      <c r="F8" s="6" t="s">
        <v>444</v>
      </c>
      <c r="G8" s="6" t="s">
        <v>59</v>
      </c>
      <c r="H8" s="7" t="s">
        <v>663</v>
      </c>
    </row>
    <row r="9" customFormat="false" ht="27.75" hidden="false" customHeight="true" outlineLevel="0" collapsed="false">
      <c r="A9" s="8" t="s">
        <v>274</v>
      </c>
      <c r="B9" s="8" t="s">
        <v>657</v>
      </c>
      <c r="C9" s="8" t="s">
        <v>435</v>
      </c>
      <c r="D9" s="8" t="s">
        <v>664</v>
      </c>
      <c r="E9" s="11" t="s">
        <v>665</v>
      </c>
      <c r="F9" s="8" t="s">
        <v>444</v>
      </c>
      <c r="G9" s="8" t="s">
        <v>59</v>
      </c>
      <c r="H9" s="9" t="s">
        <v>666</v>
      </c>
    </row>
    <row r="10" customFormat="false" ht="27.75" hidden="false" customHeight="true" outlineLevel="0" collapsed="false">
      <c r="A10" s="6" t="s">
        <v>293</v>
      </c>
      <c r="B10" s="6" t="s">
        <v>294</v>
      </c>
      <c r="C10" s="6" t="s">
        <v>435</v>
      </c>
      <c r="D10" s="6" t="s">
        <v>439</v>
      </c>
      <c r="E10" s="10" t="s">
        <v>667</v>
      </c>
      <c r="F10" s="6" t="s">
        <v>592</v>
      </c>
      <c r="G10" s="6" t="s">
        <v>59</v>
      </c>
      <c r="H10" s="7" t="s">
        <v>668</v>
      </c>
    </row>
    <row r="11" customFormat="false" ht="27.75" hidden="false" customHeight="true" outlineLevel="0" collapsed="false">
      <c r="A11" s="8" t="s">
        <v>300</v>
      </c>
      <c r="B11" s="8" t="s">
        <v>301</v>
      </c>
      <c r="C11" s="8" t="s">
        <v>435</v>
      </c>
      <c r="D11" s="8" t="s">
        <v>502</v>
      </c>
      <c r="E11" s="11" t="s">
        <v>677</v>
      </c>
      <c r="F11" s="8" t="s">
        <v>444</v>
      </c>
      <c r="G11" s="8" t="s">
        <v>62</v>
      </c>
      <c r="H11" s="9" t="s">
        <v>678</v>
      </c>
    </row>
    <row r="12" customFormat="false" ht="27.75" hidden="false" customHeight="true" outlineLevel="0" collapsed="false">
      <c r="A12" s="6" t="s">
        <v>322</v>
      </c>
      <c r="B12" s="6" t="s">
        <v>323</v>
      </c>
      <c r="C12" s="6" t="s">
        <v>435</v>
      </c>
      <c r="D12" s="6" t="s">
        <v>689</v>
      </c>
      <c r="E12" s="10" t="s">
        <v>690</v>
      </c>
      <c r="F12" s="6" t="s">
        <v>444</v>
      </c>
      <c r="G12" s="6" t="s">
        <v>59</v>
      </c>
      <c r="H12" s="7" t="s">
        <v>691</v>
      </c>
    </row>
    <row r="13" customFormat="false" ht="27.75" hidden="false" customHeight="true" outlineLevel="0" collapsed="false">
      <c r="A13" s="8" t="s">
        <v>356</v>
      </c>
      <c r="B13" s="8" t="s">
        <v>357</v>
      </c>
      <c r="C13" s="8" t="s">
        <v>435</v>
      </c>
      <c r="D13" s="8" t="s">
        <v>695</v>
      </c>
      <c r="E13" s="11" t="s">
        <v>699</v>
      </c>
      <c r="F13" s="8" t="s">
        <v>700</v>
      </c>
      <c r="G13" s="8" t="s">
        <v>62</v>
      </c>
      <c r="H13" s="9" t="s">
        <v>701</v>
      </c>
    </row>
    <row r="14" customFormat="false" ht="27.75" hidden="false" customHeight="true" outlineLevel="0" collapsed="false">
      <c r="A14" s="6" t="s">
        <v>364</v>
      </c>
      <c r="B14" s="6" t="s">
        <v>365</v>
      </c>
      <c r="C14" s="6" t="s">
        <v>435</v>
      </c>
      <c r="D14" s="6" t="s">
        <v>502</v>
      </c>
      <c r="E14" s="10" t="s">
        <v>706</v>
      </c>
      <c r="F14" s="6" t="s">
        <v>444</v>
      </c>
      <c r="G14" s="6" t="s">
        <v>59</v>
      </c>
      <c r="H14" s="7" t="s">
        <v>707</v>
      </c>
    </row>
    <row r="15" customFormat="false" ht="27.75" hidden="false" customHeight="true" outlineLevel="0" collapsed="false">
      <c r="A15" s="8" t="s">
        <v>364</v>
      </c>
      <c r="B15" s="8" t="s">
        <v>365</v>
      </c>
      <c r="C15" s="8" t="s">
        <v>435</v>
      </c>
      <c r="D15" s="8" t="s">
        <v>711</v>
      </c>
      <c r="E15" s="11" t="s">
        <v>712</v>
      </c>
      <c r="F15" s="8" t="s">
        <v>444</v>
      </c>
      <c r="G15" s="8" t="s">
        <v>59</v>
      </c>
      <c r="H15" s="9" t="s">
        <v>713</v>
      </c>
    </row>
    <row r="16" customFormat="false" ht="27.75" hidden="false" customHeight="true" outlineLevel="0" collapsed="false">
      <c r="A16" s="6" t="s">
        <v>368</v>
      </c>
      <c r="B16" s="6" t="s">
        <v>369</v>
      </c>
      <c r="C16" s="6" t="s">
        <v>435</v>
      </c>
      <c r="D16" s="6" t="s">
        <v>502</v>
      </c>
      <c r="E16" s="10" t="s">
        <v>724</v>
      </c>
      <c r="F16" s="6" t="s">
        <v>444</v>
      </c>
      <c r="G16" s="6" t="s">
        <v>59</v>
      </c>
      <c r="H16" s="7" t="s">
        <v>725</v>
      </c>
    </row>
    <row r="17" customFormat="false" ht="27.75" hidden="false" customHeight="true" outlineLevel="0" collapsed="false">
      <c r="A17" s="8" t="s">
        <v>368</v>
      </c>
      <c r="B17" s="8" t="s">
        <v>369</v>
      </c>
      <c r="C17" s="8" t="s">
        <v>435</v>
      </c>
      <c r="D17" s="8" t="s">
        <v>502</v>
      </c>
      <c r="E17" s="11" t="s">
        <v>726</v>
      </c>
      <c r="F17" s="8" t="s">
        <v>444</v>
      </c>
      <c r="G17" s="8" t="s">
        <v>59</v>
      </c>
      <c r="H17" s="9" t="s">
        <v>727</v>
      </c>
    </row>
    <row r="18" customFormat="false" ht="27.75" hidden="false" customHeight="true" outlineLevel="0" collapsed="false">
      <c r="A18" s="6" t="s">
        <v>373</v>
      </c>
      <c r="B18" s="6" t="s">
        <v>374</v>
      </c>
      <c r="C18" s="6" t="s">
        <v>435</v>
      </c>
      <c r="D18" s="6" t="s">
        <v>661</v>
      </c>
      <c r="E18" s="10" t="s">
        <v>737</v>
      </c>
      <c r="F18" s="6" t="s">
        <v>444</v>
      </c>
      <c r="G18" s="6" t="s">
        <v>59</v>
      </c>
      <c r="H18" s="7" t="s">
        <v>738</v>
      </c>
    </row>
    <row r="19" customFormat="false" ht="27.75" hidden="false" customHeight="true" outlineLevel="0" collapsed="false">
      <c r="A19" s="8" t="s">
        <v>373</v>
      </c>
      <c r="B19" s="8" t="s">
        <v>374</v>
      </c>
      <c r="C19" s="8" t="s">
        <v>435</v>
      </c>
      <c r="D19" s="8" t="s">
        <v>502</v>
      </c>
      <c r="E19" s="11" t="s">
        <v>739</v>
      </c>
      <c r="F19" s="8" t="s">
        <v>444</v>
      </c>
      <c r="G19" s="8" t="s">
        <v>59</v>
      </c>
      <c r="H19" s="9" t="s">
        <v>740</v>
      </c>
    </row>
    <row r="20" customFormat="false" ht="27.75" hidden="false" customHeight="true" outlineLevel="0" collapsed="false">
      <c r="A20" s="6" t="s">
        <v>373</v>
      </c>
      <c r="B20" s="6" t="s">
        <v>374</v>
      </c>
      <c r="C20" s="6" t="s">
        <v>435</v>
      </c>
      <c r="D20" s="6" t="s">
        <v>544</v>
      </c>
      <c r="E20" s="10" t="s">
        <v>744</v>
      </c>
      <c r="F20" s="6" t="s">
        <v>444</v>
      </c>
      <c r="G20" s="6" t="s">
        <v>62</v>
      </c>
      <c r="H20" s="7" t="s">
        <v>745</v>
      </c>
    </row>
    <row r="21" customFormat="false" ht="27.75" hidden="false" customHeight="true" outlineLevel="0" collapsed="false">
      <c r="A21" s="8" t="s">
        <v>380</v>
      </c>
      <c r="B21" s="8" t="s">
        <v>381</v>
      </c>
      <c r="C21" s="8" t="s">
        <v>435</v>
      </c>
      <c r="D21" s="8" t="s">
        <v>661</v>
      </c>
      <c r="E21" s="11" t="s">
        <v>752</v>
      </c>
      <c r="F21" s="8" t="s">
        <v>444</v>
      </c>
      <c r="G21" s="8" t="s">
        <v>59</v>
      </c>
      <c r="H21" s="9" t="s">
        <v>753</v>
      </c>
    </row>
    <row r="22" customFormat="false" ht="27.75" hidden="false" customHeight="true" outlineLevel="0" collapsed="false">
      <c r="A22" s="6" t="s">
        <v>387</v>
      </c>
      <c r="B22" s="6" t="s">
        <v>388</v>
      </c>
      <c r="C22" s="6" t="s">
        <v>435</v>
      </c>
      <c r="D22" s="6" t="s">
        <v>661</v>
      </c>
      <c r="E22" s="10" t="s">
        <v>763</v>
      </c>
      <c r="F22" s="6" t="s">
        <v>444</v>
      </c>
      <c r="G22" s="6" t="s">
        <v>59</v>
      </c>
      <c r="H22" s="7"/>
    </row>
    <row r="23" customFormat="false" ht="27.75" hidden="false" customHeight="true" outlineLevel="0" collapsed="false">
      <c r="A23" s="8" t="s">
        <v>392</v>
      </c>
      <c r="B23" s="8" t="s">
        <v>393</v>
      </c>
      <c r="C23" s="8" t="s">
        <v>270</v>
      </c>
      <c r="D23" s="8" t="s">
        <v>439</v>
      </c>
      <c r="E23" s="11" t="s">
        <v>764</v>
      </c>
      <c r="F23" s="8" t="s">
        <v>765</v>
      </c>
      <c r="G23" s="8" t="s">
        <v>59</v>
      </c>
      <c r="H23" s="9" t="s">
        <v>766</v>
      </c>
    </row>
    <row r="24" customFormat="false" ht="27.75" hidden="false" customHeight="true" outlineLevel="0" collapsed="false">
      <c r="A24" s="6" t="s">
        <v>392</v>
      </c>
      <c r="B24" s="6" t="s">
        <v>393</v>
      </c>
      <c r="C24" s="6" t="s">
        <v>270</v>
      </c>
      <c r="D24" s="6" t="s">
        <v>695</v>
      </c>
      <c r="E24" s="10" t="s">
        <v>779</v>
      </c>
      <c r="F24" s="6" t="s">
        <v>768</v>
      </c>
      <c r="G24" s="6" t="s">
        <v>59</v>
      </c>
      <c r="H24" s="7" t="s">
        <v>780</v>
      </c>
    </row>
    <row r="25" customFormat="false" ht="27.75" hidden="false" customHeight="true" outlineLevel="0" collapsed="false">
      <c r="A25" s="8" t="s">
        <v>399</v>
      </c>
      <c r="B25" s="8" t="s">
        <v>400</v>
      </c>
      <c r="C25" s="8" t="s">
        <v>278</v>
      </c>
      <c r="D25" s="8" t="s">
        <v>784</v>
      </c>
      <c r="E25" s="11" t="s">
        <v>785</v>
      </c>
      <c r="F25" s="8" t="s">
        <v>782</v>
      </c>
      <c r="G25" s="8" t="s">
        <v>62</v>
      </c>
      <c r="H25" s="9" t="s">
        <v>786</v>
      </c>
    </row>
    <row r="26" customFormat="false" ht="27.75" hidden="false" customHeight="true" outlineLevel="0" collapsed="false">
      <c r="A26" s="6" t="s">
        <v>399</v>
      </c>
      <c r="B26" s="6" t="s">
        <v>400</v>
      </c>
      <c r="C26" s="6" t="s">
        <v>278</v>
      </c>
      <c r="D26" s="6" t="s">
        <v>664</v>
      </c>
      <c r="E26" s="10" t="s">
        <v>789</v>
      </c>
      <c r="F26" s="6" t="s">
        <v>444</v>
      </c>
      <c r="G26" s="6" t="s">
        <v>62</v>
      </c>
      <c r="H26" s="7" t="s">
        <v>790</v>
      </c>
    </row>
    <row r="27" customFormat="false" ht="27.75" hidden="false" customHeight="true" outlineLevel="0" collapsed="false">
      <c r="A27" s="8" t="s">
        <v>399</v>
      </c>
      <c r="B27" s="8" t="s">
        <v>400</v>
      </c>
      <c r="C27" s="8" t="s">
        <v>278</v>
      </c>
      <c r="D27" s="8" t="s">
        <v>442</v>
      </c>
      <c r="E27" s="11" t="s">
        <v>791</v>
      </c>
      <c r="F27" s="8" t="s">
        <v>444</v>
      </c>
      <c r="G27" s="8" t="s">
        <v>62</v>
      </c>
      <c r="H27" s="9" t="s">
        <v>792</v>
      </c>
    </row>
    <row r="28" customFormat="false" ht="27.75" hidden="false" customHeight="true" outlineLevel="0" collapsed="false">
      <c r="A28" s="6" t="s">
        <v>795</v>
      </c>
      <c r="B28" s="6" t="s">
        <v>796</v>
      </c>
      <c r="C28" s="6" t="s">
        <v>435</v>
      </c>
      <c r="D28" s="6" t="s">
        <v>664</v>
      </c>
      <c r="E28" s="10" t="s">
        <v>797</v>
      </c>
      <c r="F28" s="6" t="s">
        <v>444</v>
      </c>
      <c r="G28" s="6" t="s">
        <v>59</v>
      </c>
      <c r="H28" s="7" t="s">
        <v>798</v>
      </c>
    </row>
    <row r="29" customFormat="false" ht="27.75" hidden="false" customHeight="true" outlineLevel="0" collapsed="false">
      <c r="A29" s="8" t="s">
        <v>795</v>
      </c>
      <c r="B29" s="8" t="s">
        <v>796</v>
      </c>
      <c r="C29" s="8" t="s">
        <v>435</v>
      </c>
      <c r="D29" s="8" t="s">
        <v>664</v>
      </c>
      <c r="E29" s="11" t="s">
        <v>799</v>
      </c>
      <c r="F29" s="8" t="s">
        <v>444</v>
      </c>
      <c r="G29" s="8" t="s">
        <v>59</v>
      </c>
      <c r="H29" s="9" t="s">
        <v>800</v>
      </c>
    </row>
    <row r="30" customFormat="false" ht="27.75" hidden="false" customHeight="true" outlineLevel="0" collapsed="false">
      <c r="A30" s="6" t="s">
        <v>795</v>
      </c>
      <c r="B30" s="6" t="s">
        <v>801</v>
      </c>
      <c r="C30" s="6" t="s">
        <v>435</v>
      </c>
      <c r="D30" s="6" t="s">
        <v>802</v>
      </c>
      <c r="E30" s="10" t="s">
        <v>803</v>
      </c>
      <c r="F30" s="6" t="s">
        <v>444</v>
      </c>
      <c r="G30" s="6" t="s">
        <v>59</v>
      </c>
      <c r="H30" s="7" t="s">
        <v>804</v>
      </c>
    </row>
    <row r="31" customFormat="false" ht="27.75" hidden="false" customHeight="true" outlineLevel="0" collapsed="false">
      <c r="A31" s="8" t="s">
        <v>805</v>
      </c>
      <c r="B31" s="8" t="s">
        <v>657</v>
      </c>
      <c r="C31" s="8" t="s">
        <v>435</v>
      </c>
      <c r="D31" s="8" t="s">
        <v>806</v>
      </c>
      <c r="E31" s="11" t="s">
        <v>665</v>
      </c>
      <c r="F31" s="8" t="s">
        <v>444</v>
      </c>
      <c r="G31" s="8" t="s">
        <v>59</v>
      </c>
      <c r="H31" s="9" t="s">
        <v>807</v>
      </c>
    </row>
    <row r="32" customFormat="false" ht="27.75" hidden="false" customHeight="true" outlineLevel="0" collapsed="false">
      <c r="A32" s="6" t="s">
        <v>808</v>
      </c>
      <c r="B32" s="6" t="s">
        <v>294</v>
      </c>
      <c r="C32" s="6" t="s">
        <v>435</v>
      </c>
      <c r="D32" s="6" t="s">
        <v>439</v>
      </c>
      <c r="E32" s="10" t="s">
        <v>809</v>
      </c>
      <c r="F32" s="6" t="s">
        <v>444</v>
      </c>
      <c r="G32" s="6" t="s">
        <v>59</v>
      </c>
      <c r="H32" s="7" t="s">
        <v>810</v>
      </c>
    </row>
    <row r="33" customFormat="false" ht="27.75" hidden="false" customHeight="true" outlineLevel="0" collapsed="false">
      <c r="A33" s="8" t="s">
        <v>811</v>
      </c>
      <c r="B33" s="8" t="s">
        <v>323</v>
      </c>
      <c r="C33" s="8" t="s">
        <v>435</v>
      </c>
      <c r="D33" s="8" t="s">
        <v>812</v>
      </c>
      <c r="E33" s="11" t="s">
        <v>813</v>
      </c>
      <c r="F33" s="8" t="s">
        <v>444</v>
      </c>
      <c r="G33" s="8" t="s">
        <v>59</v>
      </c>
      <c r="H33" s="9" t="s">
        <v>814</v>
      </c>
    </row>
  </sheetData>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6F"/>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66"/>
    <col collapsed="false" customWidth="true" hidden="false" outlineLevel="0" max="4" min="4" style="0" width="40"/>
    <col collapsed="false" customWidth="true" hidden="false" outlineLevel="0" max="5" min="5" style="0" width="12"/>
    <col collapsed="false" customWidth="true" hidden="false" outlineLevel="0" max="6" min="6" style="0" width="62"/>
    <col collapsed="false" customWidth="true" hidden="false" outlineLevel="0" max="7" min="7" style="0" width="20"/>
    <col collapsed="false" customWidth="true" hidden="false" outlineLevel="0" max="8" min="8" style="0" width="11"/>
  </cols>
  <sheetData>
    <row r="1" customFormat="false" ht="30" hidden="false" customHeight="true" outlineLevel="0" collapsed="false">
      <c r="A1" s="5" t="s">
        <v>84</v>
      </c>
      <c r="B1" s="5" t="s">
        <v>85</v>
      </c>
      <c r="C1" s="5" t="s">
        <v>815</v>
      </c>
      <c r="D1" s="5" t="s">
        <v>816</v>
      </c>
      <c r="E1" s="5" t="s">
        <v>817</v>
      </c>
      <c r="F1" s="5" t="s">
        <v>818</v>
      </c>
      <c r="G1" s="5" t="s">
        <v>819</v>
      </c>
      <c r="H1" s="5" t="s">
        <v>69</v>
      </c>
    </row>
    <row r="2" customFormat="false" ht="30" hidden="false" customHeight="true" outlineLevel="0" collapsed="false">
      <c r="A2" s="6" t="s">
        <v>820</v>
      </c>
      <c r="B2" s="6" t="s">
        <v>821</v>
      </c>
      <c r="C2" s="10" t="s">
        <v>822</v>
      </c>
      <c r="D2" s="7" t="s">
        <v>823</v>
      </c>
      <c r="E2" s="6" t="s">
        <v>824</v>
      </c>
      <c r="F2" s="7" t="s">
        <v>825</v>
      </c>
      <c r="G2" s="6" t="s">
        <v>104</v>
      </c>
      <c r="H2" s="6" t="s">
        <v>59</v>
      </c>
    </row>
    <row r="3" customFormat="false" ht="30" hidden="false" customHeight="true" outlineLevel="0" collapsed="false">
      <c r="A3" s="8" t="s">
        <v>108</v>
      </c>
      <c r="B3" s="8" t="s">
        <v>109</v>
      </c>
      <c r="C3" s="11" t="s">
        <v>826</v>
      </c>
      <c r="D3" s="9" t="s">
        <v>827</v>
      </c>
      <c r="E3" s="8" t="s">
        <v>824</v>
      </c>
      <c r="F3" s="9" t="s">
        <v>828</v>
      </c>
      <c r="G3" s="8" t="s">
        <v>104</v>
      </c>
      <c r="H3" s="8" t="s">
        <v>59</v>
      </c>
    </row>
    <row r="4" customFormat="false" ht="30" hidden="false" customHeight="true" outlineLevel="0" collapsed="false">
      <c r="A4" s="6" t="s">
        <v>108</v>
      </c>
      <c r="B4" s="6" t="s">
        <v>109</v>
      </c>
      <c r="C4" s="10" t="s">
        <v>829</v>
      </c>
      <c r="D4" s="7" t="s">
        <v>830</v>
      </c>
      <c r="E4" s="6" t="s">
        <v>824</v>
      </c>
      <c r="F4" s="7" t="s">
        <v>831</v>
      </c>
      <c r="G4" s="6" t="s">
        <v>832</v>
      </c>
      <c r="H4" s="6" t="s">
        <v>62</v>
      </c>
    </row>
    <row r="5" customFormat="false" ht="30" hidden="false" customHeight="true" outlineLevel="0" collapsed="false">
      <c r="A5" s="8" t="s">
        <v>108</v>
      </c>
      <c r="B5" s="8" t="s">
        <v>109</v>
      </c>
      <c r="C5" s="11" t="s">
        <v>833</v>
      </c>
      <c r="D5" s="9" t="s">
        <v>109</v>
      </c>
      <c r="E5" s="8" t="s">
        <v>824</v>
      </c>
      <c r="F5" s="9" t="s">
        <v>834</v>
      </c>
      <c r="G5" s="8" t="s">
        <v>835</v>
      </c>
      <c r="H5" s="8" t="s">
        <v>62</v>
      </c>
    </row>
    <row r="6" customFormat="false" ht="30" hidden="false" customHeight="true" outlineLevel="0" collapsed="false">
      <c r="A6" s="6" t="s">
        <v>170</v>
      </c>
      <c r="B6" s="6" t="s">
        <v>566</v>
      </c>
      <c r="C6" s="10" t="s">
        <v>836</v>
      </c>
      <c r="D6" s="7" t="s">
        <v>827</v>
      </c>
      <c r="E6" s="6" t="s">
        <v>824</v>
      </c>
      <c r="F6" s="7" t="s">
        <v>837</v>
      </c>
      <c r="G6" s="6" t="s">
        <v>104</v>
      </c>
      <c r="H6" s="6" t="s">
        <v>62</v>
      </c>
    </row>
    <row r="7" customFormat="false" ht="30" hidden="false" customHeight="true" outlineLevel="0" collapsed="false">
      <c r="A7" s="8" t="s">
        <v>170</v>
      </c>
      <c r="B7" s="8" t="s">
        <v>566</v>
      </c>
      <c r="C7" s="11" t="s">
        <v>833</v>
      </c>
      <c r="D7" s="9" t="s">
        <v>838</v>
      </c>
      <c r="E7" s="8" t="s">
        <v>824</v>
      </c>
      <c r="F7" s="9" t="s">
        <v>839</v>
      </c>
      <c r="G7" s="8" t="s">
        <v>840</v>
      </c>
      <c r="H7" s="8" t="s">
        <v>62</v>
      </c>
    </row>
    <row r="8" customFormat="false" ht="30" hidden="false" customHeight="true" outlineLevel="0" collapsed="false">
      <c r="A8" s="6" t="s">
        <v>170</v>
      </c>
      <c r="B8" s="6" t="s">
        <v>566</v>
      </c>
      <c r="C8" s="10" t="s">
        <v>841</v>
      </c>
      <c r="D8" s="7" t="s">
        <v>830</v>
      </c>
      <c r="E8" s="6" t="s">
        <v>824</v>
      </c>
      <c r="F8" s="7" t="s">
        <v>842</v>
      </c>
      <c r="G8" s="6" t="s">
        <v>832</v>
      </c>
      <c r="H8" s="6" t="s">
        <v>62</v>
      </c>
    </row>
    <row r="9" customFormat="false" ht="30" hidden="false" customHeight="true" outlineLevel="0" collapsed="false">
      <c r="A9" s="8" t="s">
        <v>170</v>
      </c>
      <c r="B9" s="8" t="s">
        <v>843</v>
      </c>
      <c r="C9" s="11" t="s">
        <v>844</v>
      </c>
      <c r="D9" s="9" t="s">
        <v>32</v>
      </c>
      <c r="E9" s="8" t="s">
        <v>845</v>
      </c>
      <c r="F9" s="9" t="s">
        <v>846</v>
      </c>
      <c r="G9" s="8" t="s">
        <v>104</v>
      </c>
      <c r="H9" s="8" t="s">
        <v>62</v>
      </c>
    </row>
    <row r="10" customFormat="false" ht="30" hidden="false" customHeight="true" outlineLevel="0" collapsed="false">
      <c r="A10" s="6" t="s">
        <v>215</v>
      </c>
      <c r="B10" s="6" t="s">
        <v>216</v>
      </c>
      <c r="C10" s="10" t="s">
        <v>833</v>
      </c>
      <c r="D10" s="7" t="s">
        <v>216</v>
      </c>
      <c r="E10" s="6" t="s">
        <v>824</v>
      </c>
      <c r="F10" s="7" t="s">
        <v>847</v>
      </c>
      <c r="G10" s="6" t="s">
        <v>840</v>
      </c>
      <c r="H10" s="6" t="s">
        <v>59</v>
      </c>
    </row>
    <row r="11" customFormat="false" ht="30" hidden="false" customHeight="true" outlineLevel="0" collapsed="false">
      <c r="A11" s="8" t="s">
        <v>215</v>
      </c>
      <c r="B11" s="8" t="s">
        <v>216</v>
      </c>
      <c r="C11" s="11" t="s">
        <v>848</v>
      </c>
      <c r="D11" s="9" t="s">
        <v>849</v>
      </c>
      <c r="E11" s="8" t="s">
        <v>824</v>
      </c>
      <c r="F11" s="9" t="s">
        <v>850</v>
      </c>
      <c r="G11" s="8" t="s">
        <v>104</v>
      </c>
      <c r="H11" s="8" t="s">
        <v>59</v>
      </c>
    </row>
    <row r="12" customFormat="false" ht="30" hidden="false" customHeight="true" outlineLevel="0" collapsed="false">
      <c r="A12" s="6" t="s">
        <v>215</v>
      </c>
      <c r="B12" s="6" t="s">
        <v>216</v>
      </c>
      <c r="C12" s="10" t="s">
        <v>848</v>
      </c>
      <c r="D12" s="7" t="s">
        <v>851</v>
      </c>
      <c r="E12" s="6" t="s">
        <v>824</v>
      </c>
      <c r="F12" s="7" t="s">
        <v>852</v>
      </c>
      <c r="G12" s="6" t="s">
        <v>104</v>
      </c>
      <c r="H12" s="6" t="s">
        <v>59</v>
      </c>
    </row>
    <row r="13" customFormat="false" ht="30" hidden="false" customHeight="true" outlineLevel="0" collapsed="false">
      <c r="A13" s="8" t="s">
        <v>215</v>
      </c>
      <c r="B13" s="8" t="s">
        <v>216</v>
      </c>
      <c r="C13" s="11" t="s">
        <v>853</v>
      </c>
      <c r="D13" s="9" t="s">
        <v>854</v>
      </c>
      <c r="E13" s="8" t="s">
        <v>824</v>
      </c>
      <c r="F13" s="9" t="s">
        <v>837</v>
      </c>
      <c r="G13" s="8" t="s">
        <v>104</v>
      </c>
      <c r="H13" s="8" t="s">
        <v>59</v>
      </c>
    </row>
    <row r="14" customFormat="false" ht="30" hidden="false" customHeight="true" outlineLevel="0" collapsed="false">
      <c r="A14" s="6" t="s">
        <v>226</v>
      </c>
      <c r="B14" s="6" t="s">
        <v>227</v>
      </c>
      <c r="C14" s="10" t="s">
        <v>855</v>
      </c>
      <c r="D14" s="7" t="s">
        <v>854</v>
      </c>
      <c r="E14" s="6" t="s">
        <v>824</v>
      </c>
      <c r="F14" s="7" t="s">
        <v>837</v>
      </c>
      <c r="G14" s="6" t="s">
        <v>104</v>
      </c>
      <c r="H14" s="6" t="s">
        <v>62</v>
      </c>
    </row>
    <row r="15" customFormat="false" ht="30" hidden="false" customHeight="true" outlineLevel="0" collapsed="false">
      <c r="A15" s="8" t="s">
        <v>226</v>
      </c>
      <c r="B15" s="8" t="s">
        <v>227</v>
      </c>
      <c r="C15" s="11" t="s">
        <v>848</v>
      </c>
      <c r="D15" s="9" t="s">
        <v>856</v>
      </c>
      <c r="E15" s="8" t="s">
        <v>824</v>
      </c>
      <c r="F15" s="9" t="s">
        <v>857</v>
      </c>
      <c r="G15" s="8" t="s">
        <v>104</v>
      </c>
      <c r="H15" s="8" t="s">
        <v>62</v>
      </c>
    </row>
    <row r="16" customFormat="false" ht="30" hidden="false" customHeight="true" outlineLevel="0" collapsed="false">
      <c r="A16" s="6" t="s">
        <v>239</v>
      </c>
      <c r="B16" s="6" t="s">
        <v>240</v>
      </c>
      <c r="C16" s="10" t="s">
        <v>848</v>
      </c>
      <c r="D16" s="7" t="s">
        <v>858</v>
      </c>
      <c r="E16" s="6" t="s">
        <v>824</v>
      </c>
      <c r="F16" s="7" t="s">
        <v>859</v>
      </c>
      <c r="G16" s="6" t="s">
        <v>104</v>
      </c>
      <c r="H16" s="6" t="s">
        <v>62</v>
      </c>
    </row>
    <row r="17" customFormat="false" ht="30" hidden="false" customHeight="true" outlineLevel="0" collapsed="false">
      <c r="A17" s="8" t="s">
        <v>820</v>
      </c>
      <c r="B17" s="8" t="s">
        <v>860</v>
      </c>
      <c r="C17" s="11" t="s">
        <v>848</v>
      </c>
      <c r="D17" s="9" t="s">
        <v>861</v>
      </c>
      <c r="E17" s="8" t="s">
        <v>824</v>
      </c>
      <c r="F17" s="9" t="s">
        <v>862</v>
      </c>
      <c r="G17" s="8" t="s">
        <v>863</v>
      </c>
      <c r="H17" s="8" t="s">
        <v>59</v>
      </c>
    </row>
    <row r="18" customFormat="false" ht="30" hidden="false" customHeight="true" outlineLevel="0" collapsed="false">
      <c r="A18" s="6" t="s">
        <v>820</v>
      </c>
      <c r="B18" s="6" t="s">
        <v>864</v>
      </c>
      <c r="C18" s="10" t="s">
        <v>865</v>
      </c>
      <c r="D18" s="7" t="s">
        <v>866</v>
      </c>
      <c r="E18" s="6" t="s">
        <v>824</v>
      </c>
      <c r="F18" s="7" t="s">
        <v>867</v>
      </c>
      <c r="G18" s="6" t="s">
        <v>104</v>
      </c>
      <c r="H18" s="6" t="s">
        <v>59</v>
      </c>
    </row>
    <row r="19" customFormat="false" ht="30" hidden="false" customHeight="true" outlineLevel="0" collapsed="false">
      <c r="A19" s="8" t="s">
        <v>274</v>
      </c>
      <c r="B19" s="8" t="s">
        <v>657</v>
      </c>
      <c r="C19" s="11" t="s">
        <v>848</v>
      </c>
      <c r="D19" s="9" t="s">
        <v>665</v>
      </c>
      <c r="E19" s="8" t="s">
        <v>824</v>
      </c>
      <c r="F19" s="9" t="s">
        <v>868</v>
      </c>
      <c r="G19" s="8" t="s">
        <v>104</v>
      </c>
      <c r="H19" s="8" t="s">
        <v>59</v>
      </c>
    </row>
  </sheetData>
  <autoFilter ref="A1:H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6F"/>
    <pageSetUpPr fitToPage="false"/>
  </sheetPr>
  <dimension ref="A1:J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8"/>
    <col collapsed="false" customWidth="true" hidden="false" outlineLevel="0" max="4" min="4" style="0" width="62"/>
    <col collapsed="false" customWidth="true" hidden="false" outlineLevel="0" max="5" min="5" style="0" width="22"/>
    <col collapsed="false" customWidth="true" hidden="false" outlineLevel="0" max="6" min="6" style="0" width="34"/>
    <col collapsed="false" customWidth="true" hidden="false" outlineLevel="0" max="7" min="7" style="0" width="20"/>
    <col collapsed="false" customWidth="true" hidden="false" outlineLevel="0" max="9" min="8" style="0" width="11"/>
    <col collapsed="false" customWidth="true" hidden="false" outlineLevel="0" max="10" min="10" style="0" width="66"/>
  </cols>
  <sheetData>
    <row r="1" customFormat="false" ht="30" hidden="false" customHeight="true" outlineLevel="0" collapsed="false">
      <c r="A1" s="5" t="s">
        <v>84</v>
      </c>
      <c r="B1" s="5" t="s">
        <v>85</v>
      </c>
      <c r="C1" s="5" t="s">
        <v>869</v>
      </c>
      <c r="D1" s="5" t="s">
        <v>870</v>
      </c>
      <c r="E1" s="5" t="s">
        <v>871</v>
      </c>
      <c r="F1" s="5" t="s">
        <v>872</v>
      </c>
      <c r="G1" s="5" t="s">
        <v>873</v>
      </c>
      <c r="H1" s="5" t="s">
        <v>874</v>
      </c>
      <c r="I1" s="5" t="s">
        <v>69</v>
      </c>
      <c r="J1" s="5" t="s">
        <v>4</v>
      </c>
    </row>
    <row r="2" customFormat="false" ht="30" hidden="false" customHeight="true" outlineLevel="0" collapsed="false">
      <c r="A2" s="6" t="s">
        <v>97</v>
      </c>
      <c r="B2" s="6" t="s">
        <v>98</v>
      </c>
      <c r="C2" s="6" t="s">
        <v>875</v>
      </c>
      <c r="D2" s="10" t="s">
        <v>876</v>
      </c>
      <c r="E2" s="6" t="s">
        <v>877</v>
      </c>
      <c r="F2" s="7" t="s">
        <v>444</v>
      </c>
      <c r="G2" s="6" t="s">
        <v>878</v>
      </c>
      <c r="H2" s="6" t="s">
        <v>62</v>
      </c>
      <c r="I2" s="6" t="s">
        <v>59</v>
      </c>
      <c r="J2" s="7" t="s">
        <v>879</v>
      </c>
    </row>
    <row r="3" customFormat="false" ht="30" hidden="false" customHeight="true" outlineLevel="0" collapsed="false">
      <c r="A3" s="8" t="s">
        <v>97</v>
      </c>
      <c r="B3" s="8" t="s">
        <v>98</v>
      </c>
      <c r="C3" s="8" t="s">
        <v>875</v>
      </c>
      <c r="D3" s="11" t="s">
        <v>880</v>
      </c>
      <c r="E3" s="8" t="s">
        <v>877</v>
      </c>
      <c r="F3" s="9" t="s">
        <v>444</v>
      </c>
      <c r="G3" s="8" t="s">
        <v>444</v>
      </c>
      <c r="H3" s="8" t="s">
        <v>65</v>
      </c>
      <c r="I3" s="8" t="s">
        <v>59</v>
      </c>
      <c r="J3" s="9" t="s">
        <v>881</v>
      </c>
    </row>
    <row r="4" customFormat="false" ht="30" hidden="false" customHeight="true" outlineLevel="0" collapsed="false">
      <c r="A4" s="6" t="s">
        <v>108</v>
      </c>
      <c r="B4" s="6" t="s">
        <v>109</v>
      </c>
      <c r="C4" s="6" t="s">
        <v>875</v>
      </c>
      <c r="D4" s="10" t="s">
        <v>882</v>
      </c>
      <c r="E4" s="6" t="s">
        <v>877</v>
      </c>
      <c r="F4" s="7" t="s">
        <v>444</v>
      </c>
      <c r="G4" s="6" t="s">
        <v>883</v>
      </c>
      <c r="H4" s="6" t="s">
        <v>62</v>
      </c>
      <c r="I4" s="6" t="s">
        <v>62</v>
      </c>
      <c r="J4" s="7" t="s">
        <v>884</v>
      </c>
    </row>
    <row r="5" customFormat="false" ht="30" hidden="false" customHeight="true" outlineLevel="0" collapsed="false">
      <c r="A5" s="8" t="s">
        <v>116</v>
      </c>
      <c r="B5" s="8" t="s">
        <v>480</v>
      </c>
      <c r="C5" s="8" t="s">
        <v>875</v>
      </c>
      <c r="D5" s="11" t="s">
        <v>885</v>
      </c>
      <c r="E5" s="8" t="s">
        <v>877</v>
      </c>
      <c r="F5" s="9" t="s">
        <v>444</v>
      </c>
      <c r="G5" s="8" t="s">
        <v>886</v>
      </c>
      <c r="H5" s="8" t="s">
        <v>62</v>
      </c>
      <c r="I5" s="8" t="s">
        <v>59</v>
      </c>
      <c r="J5" s="9" t="s">
        <v>887</v>
      </c>
    </row>
    <row r="6" customFormat="false" ht="30" hidden="false" customHeight="true" outlineLevel="0" collapsed="false">
      <c r="A6" s="6" t="s">
        <v>122</v>
      </c>
      <c r="B6" s="6" t="s">
        <v>123</v>
      </c>
      <c r="C6" s="6" t="s">
        <v>875</v>
      </c>
      <c r="D6" s="10" t="s">
        <v>888</v>
      </c>
      <c r="E6" s="6" t="s">
        <v>877</v>
      </c>
      <c r="F6" s="7" t="s">
        <v>444</v>
      </c>
      <c r="G6" s="6" t="s">
        <v>889</v>
      </c>
      <c r="H6" s="6" t="s">
        <v>62</v>
      </c>
      <c r="I6" s="6" t="s">
        <v>59</v>
      </c>
      <c r="J6" s="7"/>
    </row>
    <row r="7" customFormat="false" ht="30" hidden="false" customHeight="true" outlineLevel="0" collapsed="false">
      <c r="A7" s="8" t="s">
        <v>122</v>
      </c>
      <c r="B7" s="8" t="s">
        <v>123</v>
      </c>
      <c r="C7" s="8" t="s">
        <v>890</v>
      </c>
      <c r="D7" s="11" t="s">
        <v>891</v>
      </c>
      <c r="E7" s="8" t="s">
        <v>892</v>
      </c>
      <c r="F7" s="9" t="s">
        <v>893</v>
      </c>
      <c r="G7" s="8" t="s">
        <v>894</v>
      </c>
      <c r="H7" s="8" t="s">
        <v>62</v>
      </c>
      <c r="I7" s="8" t="s">
        <v>62</v>
      </c>
      <c r="J7" s="9" t="s">
        <v>895</v>
      </c>
    </row>
    <row r="8" customFormat="false" ht="30" hidden="false" customHeight="true" outlineLevel="0" collapsed="false">
      <c r="A8" s="6" t="s">
        <v>129</v>
      </c>
      <c r="B8" s="6" t="s">
        <v>130</v>
      </c>
      <c r="C8" s="6" t="s">
        <v>875</v>
      </c>
      <c r="D8" s="10" t="s">
        <v>896</v>
      </c>
      <c r="E8" s="6" t="s">
        <v>877</v>
      </c>
      <c r="F8" s="7" t="s">
        <v>444</v>
      </c>
      <c r="G8" s="6" t="s">
        <v>889</v>
      </c>
      <c r="H8" s="6" t="s">
        <v>59</v>
      </c>
      <c r="I8" s="6" t="s">
        <v>59</v>
      </c>
      <c r="J8" s="7" t="s">
        <v>897</v>
      </c>
    </row>
    <row r="9" customFormat="false" ht="30" hidden="false" customHeight="true" outlineLevel="0" collapsed="false">
      <c r="A9" s="8" t="s">
        <v>136</v>
      </c>
      <c r="B9" s="8" t="s">
        <v>137</v>
      </c>
      <c r="C9" s="8" t="s">
        <v>875</v>
      </c>
      <c r="D9" s="11" t="s">
        <v>898</v>
      </c>
      <c r="E9" s="8" t="s">
        <v>877</v>
      </c>
      <c r="F9" s="9" t="s">
        <v>444</v>
      </c>
      <c r="G9" s="8" t="s">
        <v>889</v>
      </c>
      <c r="H9" s="8" t="s">
        <v>62</v>
      </c>
      <c r="I9" s="8" t="s">
        <v>59</v>
      </c>
      <c r="J9" s="9" t="s">
        <v>899</v>
      </c>
    </row>
    <row r="10" customFormat="false" ht="30" hidden="false" customHeight="true" outlineLevel="0" collapsed="false">
      <c r="A10" s="6" t="s">
        <v>141</v>
      </c>
      <c r="B10" s="6" t="s">
        <v>142</v>
      </c>
      <c r="C10" s="6" t="s">
        <v>875</v>
      </c>
      <c r="D10" s="10" t="s">
        <v>900</v>
      </c>
      <c r="E10" s="6" t="s">
        <v>877</v>
      </c>
      <c r="F10" s="7" t="s">
        <v>444</v>
      </c>
      <c r="G10" s="6" t="s">
        <v>901</v>
      </c>
      <c r="H10" s="6" t="s">
        <v>65</v>
      </c>
      <c r="I10" s="6" t="s">
        <v>65</v>
      </c>
      <c r="J10" s="7" t="s">
        <v>902</v>
      </c>
    </row>
    <row r="11" customFormat="false" ht="30" hidden="false" customHeight="true" outlineLevel="0" collapsed="false">
      <c r="A11" s="8" t="s">
        <v>150</v>
      </c>
      <c r="B11" s="8" t="s">
        <v>541</v>
      </c>
      <c r="C11" s="8" t="s">
        <v>875</v>
      </c>
      <c r="D11" s="11" t="s">
        <v>903</v>
      </c>
      <c r="E11" s="8" t="s">
        <v>877</v>
      </c>
      <c r="F11" s="9" t="s">
        <v>444</v>
      </c>
      <c r="G11" s="8" t="s">
        <v>546</v>
      </c>
      <c r="H11" s="8" t="s">
        <v>65</v>
      </c>
      <c r="I11" s="8" t="s">
        <v>59</v>
      </c>
      <c r="J11" s="9" t="s">
        <v>904</v>
      </c>
    </row>
    <row r="12" customFormat="false" ht="30" hidden="false" customHeight="true" outlineLevel="0" collapsed="false">
      <c r="A12" s="6" t="s">
        <v>157</v>
      </c>
      <c r="B12" s="6" t="s">
        <v>158</v>
      </c>
      <c r="C12" s="6" t="s">
        <v>875</v>
      </c>
      <c r="D12" s="10" t="s">
        <v>905</v>
      </c>
      <c r="E12" s="6" t="s">
        <v>877</v>
      </c>
      <c r="F12" s="7" t="s">
        <v>444</v>
      </c>
      <c r="G12" s="6" t="s">
        <v>901</v>
      </c>
      <c r="H12" s="6" t="s">
        <v>62</v>
      </c>
      <c r="I12" s="6" t="s">
        <v>62</v>
      </c>
      <c r="J12" s="7" t="s">
        <v>906</v>
      </c>
    </row>
    <row r="13" customFormat="false" ht="30" hidden="false" customHeight="true" outlineLevel="0" collapsed="false">
      <c r="A13" s="8" t="s">
        <v>164</v>
      </c>
      <c r="B13" s="8" t="s">
        <v>165</v>
      </c>
      <c r="C13" s="8" t="s">
        <v>875</v>
      </c>
      <c r="D13" s="11" t="s">
        <v>907</v>
      </c>
      <c r="E13" s="8" t="s">
        <v>877</v>
      </c>
      <c r="F13" s="9" t="s">
        <v>444</v>
      </c>
      <c r="G13" s="8" t="s">
        <v>901</v>
      </c>
      <c r="H13" s="8" t="s">
        <v>62</v>
      </c>
      <c r="I13" s="8" t="s">
        <v>65</v>
      </c>
      <c r="J13" s="9"/>
    </row>
    <row r="14" customFormat="false" ht="30" hidden="false" customHeight="true" outlineLevel="0" collapsed="false">
      <c r="A14" s="6" t="s">
        <v>170</v>
      </c>
      <c r="B14" s="6" t="s">
        <v>566</v>
      </c>
      <c r="C14" s="6" t="s">
        <v>875</v>
      </c>
      <c r="D14" s="10" t="s">
        <v>908</v>
      </c>
      <c r="E14" s="6" t="s">
        <v>877</v>
      </c>
      <c r="F14" s="7" t="s">
        <v>444</v>
      </c>
      <c r="G14" s="6" t="s">
        <v>909</v>
      </c>
      <c r="H14" s="6" t="s">
        <v>62</v>
      </c>
      <c r="I14" s="6" t="s">
        <v>59</v>
      </c>
      <c r="J14" s="7" t="s">
        <v>910</v>
      </c>
    </row>
    <row r="15" customFormat="false" ht="30" hidden="false" customHeight="true" outlineLevel="0" collapsed="false">
      <c r="A15" s="8" t="s">
        <v>170</v>
      </c>
      <c r="B15" s="8" t="s">
        <v>566</v>
      </c>
      <c r="C15" s="8" t="s">
        <v>911</v>
      </c>
      <c r="D15" s="11" t="s">
        <v>912</v>
      </c>
      <c r="E15" s="8" t="s">
        <v>877</v>
      </c>
      <c r="F15" s="9" t="s">
        <v>444</v>
      </c>
      <c r="G15" s="8" t="s">
        <v>894</v>
      </c>
      <c r="H15" s="8" t="s">
        <v>59</v>
      </c>
      <c r="I15" s="8" t="s">
        <v>59</v>
      </c>
      <c r="J15" s="9" t="s">
        <v>913</v>
      </c>
    </row>
    <row r="16" customFormat="false" ht="30" hidden="false" customHeight="true" outlineLevel="0" collapsed="false">
      <c r="A16" s="6" t="s">
        <v>202</v>
      </c>
      <c r="B16" s="6" t="s">
        <v>203</v>
      </c>
      <c r="C16" s="6" t="s">
        <v>875</v>
      </c>
      <c r="D16" s="10" t="s">
        <v>914</v>
      </c>
      <c r="E16" s="6" t="s">
        <v>877</v>
      </c>
      <c r="F16" s="7" t="s">
        <v>444</v>
      </c>
      <c r="G16" s="6" t="s">
        <v>889</v>
      </c>
      <c r="H16" s="6" t="s">
        <v>59</v>
      </c>
      <c r="I16" s="6" t="s">
        <v>59</v>
      </c>
      <c r="J16" s="7" t="s">
        <v>915</v>
      </c>
    </row>
    <row r="17" customFormat="false" ht="30" hidden="false" customHeight="true" outlineLevel="0" collapsed="false">
      <c r="A17" s="8" t="s">
        <v>215</v>
      </c>
      <c r="B17" s="8" t="s">
        <v>216</v>
      </c>
      <c r="C17" s="8" t="s">
        <v>916</v>
      </c>
      <c r="D17" s="11" t="s">
        <v>917</v>
      </c>
      <c r="E17" s="8" t="s">
        <v>918</v>
      </c>
      <c r="F17" s="9" t="s">
        <v>919</v>
      </c>
      <c r="G17" s="8" t="s">
        <v>920</v>
      </c>
      <c r="H17" s="8" t="s">
        <v>56</v>
      </c>
      <c r="I17" s="8" t="s">
        <v>59</v>
      </c>
      <c r="J17" s="9" t="s">
        <v>921</v>
      </c>
    </row>
    <row r="18" customFormat="false" ht="30" hidden="false" customHeight="true" outlineLevel="0" collapsed="false">
      <c r="A18" s="6" t="s">
        <v>215</v>
      </c>
      <c r="B18" s="6" t="s">
        <v>216</v>
      </c>
      <c r="C18" s="6" t="s">
        <v>875</v>
      </c>
      <c r="D18" s="10" t="s">
        <v>922</v>
      </c>
      <c r="E18" s="6" t="s">
        <v>877</v>
      </c>
      <c r="F18" s="7" t="s">
        <v>444</v>
      </c>
      <c r="G18" s="6" t="s">
        <v>894</v>
      </c>
      <c r="H18" s="6" t="s">
        <v>62</v>
      </c>
      <c r="I18" s="6" t="s">
        <v>59</v>
      </c>
      <c r="J18" s="7" t="s">
        <v>923</v>
      </c>
    </row>
    <row r="19" customFormat="false" ht="30" hidden="false" customHeight="true" outlineLevel="0" collapsed="false">
      <c r="A19" s="8" t="s">
        <v>226</v>
      </c>
      <c r="B19" s="8" t="s">
        <v>227</v>
      </c>
      <c r="C19" s="8" t="s">
        <v>916</v>
      </c>
      <c r="D19" s="11" t="s">
        <v>924</v>
      </c>
      <c r="E19" s="8" t="s">
        <v>925</v>
      </c>
      <c r="F19" s="9" t="s">
        <v>926</v>
      </c>
      <c r="G19" s="8" t="s">
        <v>920</v>
      </c>
      <c r="H19" s="8" t="s">
        <v>59</v>
      </c>
      <c r="I19" s="8" t="s">
        <v>59</v>
      </c>
      <c r="J19" s="9"/>
    </row>
    <row r="20" customFormat="false" ht="30" hidden="false" customHeight="true" outlineLevel="0" collapsed="false">
      <c r="A20" s="6" t="s">
        <v>226</v>
      </c>
      <c r="B20" s="6" t="s">
        <v>227</v>
      </c>
      <c r="C20" s="6" t="s">
        <v>875</v>
      </c>
      <c r="D20" s="10" t="s">
        <v>927</v>
      </c>
      <c r="E20" s="6" t="s">
        <v>877</v>
      </c>
      <c r="F20" s="7" t="s">
        <v>444</v>
      </c>
      <c r="G20" s="6" t="s">
        <v>928</v>
      </c>
      <c r="H20" s="6" t="s">
        <v>62</v>
      </c>
      <c r="I20" s="6" t="s">
        <v>59</v>
      </c>
      <c r="J20" s="7" t="s">
        <v>929</v>
      </c>
    </row>
    <row r="21" customFormat="false" ht="30" hidden="false" customHeight="true" outlineLevel="0" collapsed="false">
      <c r="A21" s="8" t="s">
        <v>233</v>
      </c>
      <c r="B21" s="8" t="s">
        <v>234</v>
      </c>
      <c r="C21" s="8" t="s">
        <v>916</v>
      </c>
      <c r="D21" s="11" t="s">
        <v>930</v>
      </c>
      <c r="E21" s="8" t="s">
        <v>931</v>
      </c>
      <c r="F21" s="9" t="s">
        <v>893</v>
      </c>
      <c r="G21" s="8" t="s">
        <v>920</v>
      </c>
      <c r="H21" s="8" t="s">
        <v>59</v>
      </c>
      <c r="I21" s="8" t="s">
        <v>62</v>
      </c>
      <c r="J21" s="9"/>
    </row>
    <row r="22" customFormat="false" ht="30" hidden="false" customHeight="true" outlineLevel="0" collapsed="false">
      <c r="A22" s="6" t="s">
        <v>239</v>
      </c>
      <c r="B22" s="6" t="s">
        <v>240</v>
      </c>
      <c r="C22" s="6" t="s">
        <v>916</v>
      </c>
      <c r="D22" s="10" t="s">
        <v>932</v>
      </c>
      <c r="E22" s="6" t="s">
        <v>933</v>
      </c>
      <c r="F22" s="7" t="s">
        <v>934</v>
      </c>
      <c r="G22" s="6" t="s">
        <v>920</v>
      </c>
      <c r="H22" s="6" t="s">
        <v>62</v>
      </c>
      <c r="I22" s="6" t="s">
        <v>59</v>
      </c>
      <c r="J22" s="7" t="s">
        <v>935</v>
      </c>
    </row>
    <row r="23" customFormat="false" ht="30" hidden="false" customHeight="true" outlineLevel="0" collapsed="false">
      <c r="A23" s="8" t="s">
        <v>245</v>
      </c>
      <c r="B23" s="8" t="s">
        <v>246</v>
      </c>
      <c r="C23" s="8" t="s">
        <v>916</v>
      </c>
      <c r="D23" s="11" t="s">
        <v>936</v>
      </c>
      <c r="E23" s="8" t="s">
        <v>937</v>
      </c>
      <c r="F23" s="9" t="s">
        <v>893</v>
      </c>
      <c r="G23" s="8" t="s">
        <v>938</v>
      </c>
      <c r="H23" s="8" t="s">
        <v>62</v>
      </c>
      <c r="I23" s="8" t="s">
        <v>59</v>
      </c>
      <c r="J23" s="9"/>
    </row>
    <row r="24" customFormat="false" ht="30" hidden="false" customHeight="true" outlineLevel="0" collapsed="false">
      <c r="A24" s="6" t="s">
        <v>252</v>
      </c>
      <c r="B24" s="6" t="s">
        <v>650</v>
      </c>
      <c r="C24" s="6" t="s">
        <v>916</v>
      </c>
      <c r="D24" s="10" t="s">
        <v>939</v>
      </c>
      <c r="E24" s="6" t="s">
        <v>940</v>
      </c>
      <c r="F24" s="7" t="s">
        <v>893</v>
      </c>
      <c r="G24" s="6" t="s">
        <v>941</v>
      </c>
      <c r="H24" s="6" t="s">
        <v>59</v>
      </c>
      <c r="I24" s="6" t="s">
        <v>62</v>
      </c>
      <c r="J24" s="7" t="s">
        <v>942</v>
      </c>
    </row>
    <row r="25" customFormat="false" ht="30" hidden="false" customHeight="true" outlineLevel="0" collapsed="false">
      <c r="A25" s="8" t="s">
        <v>260</v>
      </c>
      <c r="B25" s="8" t="s">
        <v>261</v>
      </c>
      <c r="C25" s="8" t="s">
        <v>916</v>
      </c>
      <c r="D25" s="11" t="s">
        <v>943</v>
      </c>
      <c r="E25" s="8" t="s">
        <v>944</v>
      </c>
      <c r="F25" s="9" t="s">
        <v>893</v>
      </c>
      <c r="G25" s="8" t="s">
        <v>920</v>
      </c>
      <c r="H25" s="8" t="s">
        <v>62</v>
      </c>
      <c r="I25" s="8" t="s">
        <v>62</v>
      </c>
      <c r="J25" s="9"/>
    </row>
    <row r="26" customFormat="false" ht="30" hidden="false" customHeight="true" outlineLevel="0" collapsed="false">
      <c r="A26" s="6" t="s">
        <v>266</v>
      </c>
      <c r="B26" s="6" t="s">
        <v>267</v>
      </c>
      <c r="C26" s="6" t="s">
        <v>916</v>
      </c>
      <c r="D26" s="10" t="s">
        <v>924</v>
      </c>
      <c r="E26" s="6" t="s">
        <v>937</v>
      </c>
      <c r="F26" s="7" t="s">
        <v>945</v>
      </c>
      <c r="G26" s="6" t="s">
        <v>946</v>
      </c>
      <c r="H26" s="6" t="s">
        <v>59</v>
      </c>
      <c r="I26" s="6" t="s">
        <v>62</v>
      </c>
      <c r="J26" s="7" t="s">
        <v>947</v>
      </c>
    </row>
    <row r="27" customFormat="false" ht="30" hidden="false" customHeight="true" outlineLevel="0" collapsed="false">
      <c r="A27" s="8" t="s">
        <v>274</v>
      </c>
      <c r="B27" s="8" t="s">
        <v>657</v>
      </c>
      <c r="C27" s="8" t="s">
        <v>916</v>
      </c>
      <c r="D27" s="11" t="s">
        <v>948</v>
      </c>
      <c r="E27" s="8" t="s">
        <v>949</v>
      </c>
      <c r="F27" s="9" t="s">
        <v>950</v>
      </c>
      <c r="G27" s="8" t="s">
        <v>951</v>
      </c>
      <c r="H27" s="8" t="s">
        <v>56</v>
      </c>
      <c r="I27" s="8" t="s">
        <v>59</v>
      </c>
      <c r="J27" s="9" t="s">
        <v>952</v>
      </c>
    </row>
    <row r="28" customFormat="false" ht="30" hidden="false" customHeight="true" outlineLevel="0" collapsed="false">
      <c r="A28" s="6" t="s">
        <v>305</v>
      </c>
      <c r="B28" s="6" t="s">
        <v>306</v>
      </c>
      <c r="C28" s="6" t="s">
        <v>916</v>
      </c>
      <c r="D28" s="10" t="s">
        <v>953</v>
      </c>
      <c r="E28" s="6" t="s">
        <v>954</v>
      </c>
      <c r="F28" s="7" t="s">
        <v>945</v>
      </c>
      <c r="G28" s="6" t="s">
        <v>955</v>
      </c>
      <c r="H28" s="6" t="s">
        <v>62</v>
      </c>
      <c r="I28" s="6" t="s">
        <v>62</v>
      </c>
      <c r="J28" s="7"/>
    </row>
    <row r="29" customFormat="false" ht="30" hidden="false" customHeight="true" outlineLevel="0" collapsed="false">
      <c r="A29" s="8" t="s">
        <v>314</v>
      </c>
      <c r="B29" s="8" t="s">
        <v>315</v>
      </c>
      <c r="C29" s="8" t="s">
        <v>916</v>
      </c>
      <c r="D29" s="11" t="s">
        <v>956</v>
      </c>
      <c r="E29" s="8" t="s">
        <v>957</v>
      </c>
      <c r="F29" s="9" t="s">
        <v>950</v>
      </c>
      <c r="G29" s="8" t="s">
        <v>958</v>
      </c>
      <c r="H29" s="8" t="s">
        <v>59</v>
      </c>
      <c r="I29" s="8" t="s">
        <v>62</v>
      </c>
      <c r="J29" s="9" t="s">
        <v>959</v>
      </c>
    </row>
    <row r="30" customFormat="false" ht="30" hidden="false" customHeight="true" outlineLevel="0" collapsed="false">
      <c r="A30" s="6" t="s">
        <v>356</v>
      </c>
      <c r="B30" s="6" t="s">
        <v>357</v>
      </c>
      <c r="C30" s="6" t="s">
        <v>916</v>
      </c>
      <c r="D30" s="10" t="s">
        <v>960</v>
      </c>
      <c r="E30" s="6" t="s">
        <v>961</v>
      </c>
      <c r="F30" s="7" t="s">
        <v>945</v>
      </c>
      <c r="G30" s="6" t="s">
        <v>889</v>
      </c>
      <c r="H30" s="6" t="s">
        <v>59</v>
      </c>
      <c r="I30" s="6" t="s">
        <v>62</v>
      </c>
      <c r="J30" s="7"/>
    </row>
    <row r="31" customFormat="false" ht="30" hidden="false" customHeight="true" outlineLevel="0" collapsed="false">
      <c r="A31" s="8" t="s">
        <v>322</v>
      </c>
      <c r="B31" s="8" t="s">
        <v>323</v>
      </c>
      <c r="C31" s="8" t="s">
        <v>916</v>
      </c>
      <c r="D31" s="11" t="s">
        <v>962</v>
      </c>
      <c r="E31" s="8" t="s">
        <v>963</v>
      </c>
      <c r="F31" s="9" t="s">
        <v>964</v>
      </c>
      <c r="G31" s="8" t="s">
        <v>920</v>
      </c>
      <c r="H31" s="8" t="s">
        <v>56</v>
      </c>
      <c r="I31" s="8" t="s">
        <v>59</v>
      </c>
      <c r="J31" s="9" t="s">
        <v>965</v>
      </c>
    </row>
    <row r="32" customFormat="false" ht="30" hidden="false" customHeight="true" outlineLevel="0" collapsed="false">
      <c r="A32" s="6" t="s">
        <v>322</v>
      </c>
      <c r="B32" s="6" t="s">
        <v>323</v>
      </c>
      <c r="C32" s="6" t="s">
        <v>875</v>
      </c>
      <c r="D32" s="10" t="s">
        <v>966</v>
      </c>
      <c r="E32" s="6" t="s">
        <v>877</v>
      </c>
      <c r="F32" s="7" t="s">
        <v>444</v>
      </c>
      <c r="G32" s="6" t="s">
        <v>894</v>
      </c>
      <c r="H32" s="6" t="s">
        <v>62</v>
      </c>
      <c r="I32" s="6" t="s">
        <v>59</v>
      </c>
      <c r="J32" s="7" t="s">
        <v>967</v>
      </c>
    </row>
    <row r="33" customFormat="false" ht="30" hidden="false" customHeight="true" outlineLevel="0" collapsed="false">
      <c r="A33" s="8" t="s">
        <v>332</v>
      </c>
      <c r="B33" s="8" t="s">
        <v>333</v>
      </c>
      <c r="C33" s="8" t="s">
        <v>875</v>
      </c>
      <c r="D33" s="11" t="s">
        <v>968</v>
      </c>
      <c r="E33" s="8" t="s">
        <v>877</v>
      </c>
      <c r="F33" s="9" t="s">
        <v>444</v>
      </c>
      <c r="G33" s="8" t="s">
        <v>889</v>
      </c>
      <c r="H33" s="8" t="s">
        <v>59</v>
      </c>
      <c r="I33" s="8" t="s">
        <v>62</v>
      </c>
      <c r="J33" s="9" t="s">
        <v>969</v>
      </c>
    </row>
    <row r="34" customFormat="false" ht="30" hidden="false" customHeight="true" outlineLevel="0" collapsed="false">
      <c r="A34" s="6" t="s">
        <v>339</v>
      </c>
      <c r="B34" s="6" t="s">
        <v>340</v>
      </c>
      <c r="C34" s="6" t="s">
        <v>875</v>
      </c>
      <c r="D34" s="10" t="s">
        <v>876</v>
      </c>
      <c r="E34" s="6" t="s">
        <v>877</v>
      </c>
      <c r="F34" s="7" t="s">
        <v>444</v>
      </c>
      <c r="G34" s="6" t="s">
        <v>889</v>
      </c>
      <c r="H34" s="6" t="s">
        <v>59</v>
      </c>
      <c r="I34" s="6" t="s">
        <v>59</v>
      </c>
      <c r="J34" s="7" t="s">
        <v>970</v>
      </c>
    </row>
    <row r="35" customFormat="false" ht="30" hidden="false" customHeight="true" outlineLevel="0" collapsed="false">
      <c r="A35" s="8" t="s">
        <v>349</v>
      </c>
      <c r="B35" s="8" t="s">
        <v>350</v>
      </c>
      <c r="C35" s="8" t="s">
        <v>875</v>
      </c>
      <c r="D35" s="11" t="s">
        <v>971</v>
      </c>
      <c r="E35" s="8" t="s">
        <v>877</v>
      </c>
      <c r="F35" s="9" t="s">
        <v>444</v>
      </c>
      <c r="G35" s="8" t="s">
        <v>901</v>
      </c>
      <c r="H35" s="8" t="s">
        <v>65</v>
      </c>
      <c r="I35" s="8" t="s">
        <v>62</v>
      </c>
      <c r="J35" s="9"/>
    </row>
    <row r="36" customFormat="false" ht="30" hidden="false" customHeight="true" outlineLevel="0" collapsed="false">
      <c r="A36" s="6" t="s">
        <v>820</v>
      </c>
      <c r="B36" s="6" t="s">
        <v>972</v>
      </c>
      <c r="C36" s="6" t="s">
        <v>875</v>
      </c>
      <c r="D36" s="10" t="s">
        <v>973</v>
      </c>
      <c r="E36" s="6" t="s">
        <v>877</v>
      </c>
      <c r="F36" s="7" t="s">
        <v>444</v>
      </c>
      <c r="G36" s="6" t="s">
        <v>928</v>
      </c>
      <c r="H36" s="6" t="s">
        <v>62</v>
      </c>
      <c r="I36" s="6" t="s">
        <v>59</v>
      </c>
      <c r="J36" s="7" t="s">
        <v>974</v>
      </c>
    </row>
    <row r="37" customFormat="false" ht="30" hidden="false" customHeight="true" outlineLevel="0" collapsed="false">
      <c r="A37" s="8" t="s">
        <v>820</v>
      </c>
      <c r="B37" s="8" t="s">
        <v>975</v>
      </c>
      <c r="C37" s="8" t="s">
        <v>875</v>
      </c>
      <c r="D37" s="11" t="s">
        <v>976</v>
      </c>
      <c r="E37" s="8" t="s">
        <v>877</v>
      </c>
      <c r="F37" s="9" t="s">
        <v>444</v>
      </c>
      <c r="G37" s="8" t="s">
        <v>889</v>
      </c>
      <c r="H37" s="8" t="s">
        <v>62</v>
      </c>
      <c r="I37" s="8" t="s">
        <v>59</v>
      </c>
      <c r="J37" s="9" t="s">
        <v>977</v>
      </c>
    </row>
    <row r="38" customFormat="false" ht="30" hidden="false" customHeight="true" outlineLevel="0" collapsed="false">
      <c r="A38" s="6" t="s">
        <v>364</v>
      </c>
      <c r="B38" s="6" t="s">
        <v>365</v>
      </c>
      <c r="C38" s="6" t="s">
        <v>875</v>
      </c>
      <c r="D38" s="10" t="s">
        <v>978</v>
      </c>
      <c r="E38" s="6" t="s">
        <v>877</v>
      </c>
      <c r="F38" s="7" t="s">
        <v>444</v>
      </c>
      <c r="G38" s="6" t="s">
        <v>979</v>
      </c>
      <c r="H38" s="6" t="s">
        <v>62</v>
      </c>
      <c r="I38" s="6" t="s">
        <v>59</v>
      </c>
      <c r="J38" s="7"/>
    </row>
    <row r="39" customFormat="false" ht="30" hidden="false" customHeight="true" outlineLevel="0" collapsed="false">
      <c r="A39" s="8" t="s">
        <v>368</v>
      </c>
      <c r="B39" s="8" t="s">
        <v>369</v>
      </c>
      <c r="C39" s="8" t="s">
        <v>875</v>
      </c>
      <c r="D39" s="11" t="s">
        <v>980</v>
      </c>
      <c r="E39" s="8" t="s">
        <v>877</v>
      </c>
      <c r="F39" s="9" t="s">
        <v>444</v>
      </c>
      <c r="G39" s="8" t="s">
        <v>979</v>
      </c>
      <c r="H39" s="8" t="s">
        <v>62</v>
      </c>
      <c r="I39" s="8" t="s">
        <v>59</v>
      </c>
      <c r="J39" s="9"/>
    </row>
    <row r="40" customFormat="false" ht="30" hidden="false" customHeight="true" outlineLevel="0" collapsed="false">
      <c r="A40" s="6" t="s">
        <v>373</v>
      </c>
      <c r="B40" s="6" t="s">
        <v>374</v>
      </c>
      <c r="C40" s="6" t="s">
        <v>875</v>
      </c>
      <c r="D40" s="10" t="s">
        <v>981</v>
      </c>
      <c r="E40" s="6" t="s">
        <v>877</v>
      </c>
      <c r="F40" s="7" t="s">
        <v>444</v>
      </c>
      <c r="G40" s="6" t="s">
        <v>982</v>
      </c>
      <c r="H40" s="6" t="s">
        <v>62</v>
      </c>
      <c r="I40" s="6" t="s">
        <v>59</v>
      </c>
      <c r="J40" s="7"/>
    </row>
    <row r="41" customFormat="false" ht="30" hidden="false" customHeight="true" outlineLevel="0" collapsed="false">
      <c r="A41" s="8" t="s">
        <v>380</v>
      </c>
      <c r="B41" s="8" t="s">
        <v>381</v>
      </c>
      <c r="C41" s="8" t="s">
        <v>916</v>
      </c>
      <c r="D41" s="11" t="s">
        <v>983</v>
      </c>
      <c r="E41" s="8" t="s">
        <v>984</v>
      </c>
      <c r="F41" s="9" t="s">
        <v>893</v>
      </c>
      <c r="G41" s="8" t="s">
        <v>894</v>
      </c>
      <c r="H41" s="8" t="s">
        <v>62</v>
      </c>
      <c r="I41" s="8" t="s">
        <v>65</v>
      </c>
      <c r="J41" s="9" t="s">
        <v>985</v>
      </c>
    </row>
    <row r="42" customFormat="false" ht="30" hidden="false" customHeight="true" outlineLevel="0" collapsed="false">
      <c r="A42" s="6" t="s">
        <v>380</v>
      </c>
      <c r="B42" s="6" t="s">
        <v>381</v>
      </c>
      <c r="C42" s="6" t="s">
        <v>875</v>
      </c>
      <c r="D42" s="10" t="s">
        <v>986</v>
      </c>
      <c r="E42" s="6" t="s">
        <v>877</v>
      </c>
      <c r="F42" s="7" t="s">
        <v>444</v>
      </c>
      <c r="G42" s="6" t="s">
        <v>987</v>
      </c>
      <c r="H42" s="6" t="s">
        <v>62</v>
      </c>
      <c r="I42" s="6" t="s">
        <v>59</v>
      </c>
      <c r="J42" s="7"/>
    </row>
    <row r="43" customFormat="false" ht="30" hidden="false" customHeight="true" outlineLevel="0" collapsed="false">
      <c r="A43" s="8" t="s">
        <v>387</v>
      </c>
      <c r="B43" s="8" t="s">
        <v>388</v>
      </c>
      <c r="C43" s="8" t="s">
        <v>875</v>
      </c>
      <c r="D43" s="11" t="s">
        <v>988</v>
      </c>
      <c r="E43" s="8" t="s">
        <v>877</v>
      </c>
      <c r="F43" s="9" t="s">
        <v>444</v>
      </c>
      <c r="G43" s="8" t="s">
        <v>987</v>
      </c>
      <c r="H43" s="8" t="s">
        <v>62</v>
      </c>
      <c r="I43" s="8" t="s">
        <v>59</v>
      </c>
      <c r="J43" s="9"/>
    </row>
    <row r="44" customFormat="false" ht="30" hidden="false" customHeight="true" outlineLevel="0" collapsed="false">
      <c r="A44" s="6" t="s">
        <v>141</v>
      </c>
      <c r="B44" s="6" t="s">
        <v>142</v>
      </c>
      <c r="C44" s="6" t="s">
        <v>875</v>
      </c>
      <c r="D44" s="10" t="s">
        <v>989</v>
      </c>
      <c r="E44" s="6" t="s">
        <v>990</v>
      </c>
      <c r="F44" s="7" t="s">
        <v>444</v>
      </c>
      <c r="G44" s="6" t="s">
        <v>901</v>
      </c>
      <c r="H44" s="6" t="s">
        <v>62</v>
      </c>
      <c r="I44" s="6" t="s">
        <v>59</v>
      </c>
      <c r="J44" s="7" t="s">
        <v>991</v>
      </c>
    </row>
    <row r="45" customFormat="false" ht="30" hidden="false" customHeight="true" outlineLevel="0" collapsed="false">
      <c r="A45" s="8" t="s">
        <v>392</v>
      </c>
      <c r="B45" s="8" t="s">
        <v>393</v>
      </c>
      <c r="C45" s="8" t="s">
        <v>916</v>
      </c>
      <c r="D45" s="11" t="s">
        <v>992</v>
      </c>
      <c r="E45" s="8" t="s">
        <v>957</v>
      </c>
      <c r="F45" s="9" t="s">
        <v>945</v>
      </c>
      <c r="G45" s="8" t="s">
        <v>993</v>
      </c>
      <c r="H45" s="8" t="s">
        <v>56</v>
      </c>
      <c r="I45" s="8" t="s">
        <v>59</v>
      </c>
      <c r="J45" s="9" t="s">
        <v>994</v>
      </c>
    </row>
    <row r="46" customFormat="false" ht="30" hidden="false" customHeight="true" outlineLevel="0" collapsed="false">
      <c r="A46" s="6" t="s">
        <v>392</v>
      </c>
      <c r="B46" s="6" t="s">
        <v>393</v>
      </c>
      <c r="C46" s="6" t="s">
        <v>916</v>
      </c>
      <c r="D46" s="10" t="s">
        <v>995</v>
      </c>
      <c r="E46" s="6" t="s">
        <v>996</v>
      </c>
      <c r="F46" s="7" t="s">
        <v>950</v>
      </c>
      <c r="G46" s="6" t="s">
        <v>894</v>
      </c>
      <c r="H46" s="6" t="s">
        <v>59</v>
      </c>
      <c r="I46" s="6" t="s">
        <v>62</v>
      </c>
      <c r="J46" s="7" t="s">
        <v>997</v>
      </c>
    </row>
    <row r="47" customFormat="false" ht="30" hidden="false" customHeight="true" outlineLevel="0" collapsed="false">
      <c r="A47" s="8" t="s">
        <v>392</v>
      </c>
      <c r="B47" s="8" t="s">
        <v>393</v>
      </c>
      <c r="C47" s="8" t="s">
        <v>875</v>
      </c>
      <c r="D47" s="11" t="s">
        <v>998</v>
      </c>
      <c r="E47" s="8" t="s">
        <v>877</v>
      </c>
      <c r="F47" s="9" t="s">
        <v>444</v>
      </c>
      <c r="G47" s="8" t="s">
        <v>894</v>
      </c>
      <c r="H47" s="8" t="s">
        <v>62</v>
      </c>
      <c r="I47" s="8" t="s">
        <v>59</v>
      </c>
      <c r="J47" s="9" t="s">
        <v>999</v>
      </c>
    </row>
    <row r="48" customFormat="false" ht="30" hidden="false" customHeight="true" outlineLevel="0" collapsed="false">
      <c r="A48" s="6" t="s">
        <v>392</v>
      </c>
      <c r="B48" s="6" t="s">
        <v>393</v>
      </c>
      <c r="C48" s="6" t="s">
        <v>875</v>
      </c>
      <c r="D48" s="10" t="s">
        <v>1000</v>
      </c>
      <c r="E48" s="6" t="s">
        <v>1001</v>
      </c>
      <c r="F48" s="7" t="s">
        <v>444</v>
      </c>
      <c r="G48" s="6" t="s">
        <v>889</v>
      </c>
      <c r="H48" s="6" t="s">
        <v>59</v>
      </c>
      <c r="I48" s="6" t="s">
        <v>59</v>
      </c>
      <c r="J48" s="7" t="s">
        <v>1002</v>
      </c>
    </row>
    <row r="49" customFormat="false" ht="30" hidden="false" customHeight="true" outlineLevel="0" collapsed="false">
      <c r="A49" s="8" t="s">
        <v>399</v>
      </c>
      <c r="B49" s="8" t="s">
        <v>400</v>
      </c>
      <c r="C49" s="8" t="s">
        <v>916</v>
      </c>
      <c r="D49" s="11" t="s">
        <v>1003</v>
      </c>
      <c r="E49" s="8" t="s">
        <v>1004</v>
      </c>
      <c r="F49" s="9" t="s">
        <v>950</v>
      </c>
      <c r="G49" s="8" t="s">
        <v>1005</v>
      </c>
      <c r="H49" s="8" t="s">
        <v>56</v>
      </c>
      <c r="I49" s="8" t="s">
        <v>59</v>
      </c>
      <c r="J49" s="9" t="s">
        <v>1006</v>
      </c>
    </row>
    <row r="50" customFormat="false" ht="30" hidden="false" customHeight="true" outlineLevel="0" collapsed="false">
      <c r="A50" s="6" t="s">
        <v>399</v>
      </c>
      <c r="B50" s="6" t="s">
        <v>400</v>
      </c>
      <c r="C50" s="6" t="s">
        <v>875</v>
      </c>
      <c r="D50" s="10" t="s">
        <v>1007</v>
      </c>
      <c r="E50" s="6" t="s">
        <v>877</v>
      </c>
      <c r="F50" s="7" t="s">
        <v>444</v>
      </c>
      <c r="G50" s="6" t="s">
        <v>889</v>
      </c>
      <c r="H50" s="6" t="s">
        <v>62</v>
      </c>
      <c r="I50" s="6" t="s">
        <v>59</v>
      </c>
      <c r="J50" s="7"/>
    </row>
  </sheetData>
  <autoFilter ref="A1:J50"/>
  <conditionalFormatting sqref="H2:H50">
    <cfRule type="cellIs" priority="2" operator="equal" aboveAverage="0" equalAverage="0" bottom="0" percent="0" rank="0" text="" dxfId="12">
      <formula>"Critical"</formula>
    </cfRule>
    <cfRule type="cellIs" priority="3" operator="equal" aboveAverage="0" equalAverage="0" bottom="0" percent="0" rank="0" text="" dxfId="13">
      <formula>"High"</formula>
    </cfRule>
    <cfRule type="cellIs" priority="4" operator="equal" aboveAverage="0" equalAverage="0" bottom="0" percent="0" rank="0" text="" dxfId="14">
      <formula>"Medium"</formula>
    </cfRule>
    <cfRule type="cellIs" priority="5" operator="equal" aboveAverage="0" equalAverage="0" bottom="0" percent="0" rank="0" text="" dxfId="1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4F6F"/>
    <pageSetUpPr fitToPage="false"/>
  </sheetPr>
  <dimension ref="A1:I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6"/>
    <col collapsed="false" customWidth="true" hidden="false" outlineLevel="0" max="4" min="4" style="0" width="40"/>
    <col collapsed="false" customWidth="true" hidden="false" outlineLevel="0" max="5" min="5" style="0" width="42"/>
    <col collapsed="false" customWidth="true" hidden="false" outlineLevel="0" max="6" min="6" style="0" width="46"/>
    <col collapsed="false" customWidth="true" hidden="false" outlineLevel="0" max="7" min="7" style="0" width="20"/>
    <col collapsed="false" customWidth="true" hidden="false" outlineLevel="0" max="8" min="8" style="0" width="46"/>
    <col collapsed="false" customWidth="true" hidden="false" outlineLevel="0" max="9" min="9" style="0" width="11"/>
  </cols>
  <sheetData>
    <row r="1" customFormat="false" ht="30" hidden="false" customHeight="true" outlineLevel="0" collapsed="false">
      <c r="A1" s="5" t="s">
        <v>84</v>
      </c>
      <c r="B1" s="5" t="s">
        <v>85</v>
      </c>
      <c r="C1" s="5" t="s">
        <v>417</v>
      </c>
      <c r="D1" s="5" t="s">
        <v>1008</v>
      </c>
      <c r="E1" s="5" t="s">
        <v>1009</v>
      </c>
      <c r="F1" s="5" t="s">
        <v>1010</v>
      </c>
      <c r="G1" s="5" t="s">
        <v>1011</v>
      </c>
      <c r="H1" s="5" t="s">
        <v>1012</v>
      </c>
      <c r="I1" s="5" t="s">
        <v>69</v>
      </c>
    </row>
    <row r="2" customFormat="false" ht="27.75" hidden="false" customHeight="true" outlineLevel="0" collapsed="false">
      <c r="A2" s="6" t="s">
        <v>97</v>
      </c>
      <c r="B2" s="6" t="s">
        <v>98</v>
      </c>
      <c r="C2" s="6" t="s">
        <v>421</v>
      </c>
      <c r="D2" s="10" t="s">
        <v>1013</v>
      </c>
      <c r="E2" s="10" t="s">
        <v>1014</v>
      </c>
      <c r="F2" s="10" t="s">
        <v>1015</v>
      </c>
      <c r="G2" s="6" t="s">
        <v>104</v>
      </c>
      <c r="H2" s="7" t="s">
        <v>1016</v>
      </c>
      <c r="I2" s="6" t="s">
        <v>59</v>
      </c>
    </row>
    <row r="3" customFormat="false" ht="27.75" hidden="false" customHeight="true" outlineLevel="0" collapsed="false">
      <c r="A3" s="8" t="s">
        <v>97</v>
      </c>
      <c r="B3" s="8" t="s">
        <v>98</v>
      </c>
      <c r="C3" s="8" t="s">
        <v>429</v>
      </c>
      <c r="D3" s="11" t="s">
        <v>1017</v>
      </c>
      <c r="E3" s="11" t="s">
        <v>1018</v>
      </c>
      <c r="F3" s="11" t="s">
        <v>1019</v>
      </c>
      <c r="G3" s="8" t="s">
        <v>104</v>
      </c>
      <c r="H3" s="9" t="s">
        <v>1016</v>
      </c>
      <c r="I3" s="8" t="s">
        <v>59</v>
      </c>
    </row>
    <row r="4" customFormat="false" ht="27.75" hidden="false" customHeight="true" outlineLevel="0" collapsed="false">
      <c r="A4" s="6" t="s">
        <v>108</v>
      </c>
      <c r="B4" s="6" t="s">
        <v>109</v>
      </c>
      <c r="C4" s="6" t="s">
        <v>421</v>
      </c>
      <c r="D4" s="10" t="s">
        <v>1020</v>
      </c>
      <c r="E4" s="10" t="s">
        <v>1021</v>
      </c>
      <c r="F4" s="10" t="s">
        <v>1022</v>
      </c>
      <c r="G4" s="6" t="s">
        <v>104</v>
      </c>
      <c r="H4" s="7" t="s">
        <v>1023</v>
      </c>
      <c r="I4" s="6" t="s">
        <v>59</v>
      </c>
    </row>
    <row r="5" customFormat="false" ht="27.75" hidden="false" customHeight="true" outlineLevel="0" collapsed="false">
      <c r="A5" s="8" t="s">
        <v>116</v>
      </c>
      <c r="B5" s="8" t="s">
        <v>480</v>
      </c>
      <c r="C5" s="8" t="s">
        <v>435</v>
      </c>
      <c r="D5" s="11" t="s">
        <v>1024</v>
      </c>
      <c r="E5" s="11" t="s">
        <v>1025</v>
      </c>
      <c r="F5" s="11" t="s">
        <v>1026</v>
      </c>
      <c r="G5" s="8" t="s">
        <v>104</v>
      </c>
      <c r="H5" s="9" t="s">
        <v>894</v>
      </c>
      <c r="I5" s="8" t="s">
        <v>59</v>
      </c>
    </row>
    <row r="6" customFormat="false" ht="27.75" hidden="false" customHeight="true" outlineLevel="0" collapsed="false">
      <c r="A6" s="6" t="s">
        <v>122</v>
      </c>
      <c r="B6" s="6" t="s">
        <v>123</v>
      </c>
      <c r="C6" s="6" t="s">
        <v>435</v>
      </c>
      <c r="D6" s="10" t="s">
        <v>1027</v>
      </c>
      <c r="E6" s="10" t="s">
        <v>1028</v>
      </c>
      <c r="F6" s="10" t="s">
        <v>1029</v>
      </c>
      <c r="G6" s="6" t="s">
        <v>104</v>
      </c>
      <c r="H6" s="7" t="s">
        <v>894</v>
      </c>
      <c r="I6" s="6" t="s">
        <v>59</v>
      </c>
    </row>
    <row r="7" customFormat="false" ht="27.75" hidden="false" customHeight="true" outlineLevel="0" collapsed="false">
      <c r="A7" s="8" t="s">
        <v>129</v>
      </c>
      <c r="B7" s="8" t="s">
        <v>130</v>
      </c>
      <c r="C7" s="8" t="s">
        <v>435</v>
      </c>
      <c r="D7" s="11" t="s">
        <v>1030</v>
      </c>
      <c r="E7" s="11" t="s">
        <v>1031</v>
      </c>
      <c r="F7" s="11" t="s">
        <v>1032</v>
      </c>
      <c r="G7" s="8" t="s">
        <v>104</v>
      </c>
      <c r="H7" s="9" t="s">
        <v>894</v>
      </c>
      <c r="I7" s="8" t="s">
        <v>59</v>
      </c>
    </row>
    <row r="8" customFormat="false" ht="27.75" hidden="false" customHeight="true" outlineLevel="0" collapsed="false">
      <c r="A8" s="6" t="s">
        <v>136</v>
      </c>
      <c r="B8" s="6" t="s">
        <v>137</v>
      </c>
      <c r="C8" s="6" t="s">
        <v>421</v>
      </c>
      <c r="D8" s="10" t="s">
        <v>1033</v>
      </c>
      <c r="E8" s="10" t="s">
        <v>1021</v>
      </c>
      <c r="F8" s="10" t="s">
        <v>1034</v>
      </c>
      <c r="G8" s="6" t="s">
        <v>104</v>
      </c>
      <c r="H8" s="7" t="s">
        <v>1023</v>
      </c>
      <c r="I8" s="6" t="s">
        <v>59</v>
      </c>
    </row>
    <row r="9" customFormat="false" ht="27.75" hidden="false" customHeight="true" outlineLevel="0" collapsed="false">
      <c r="A9" s="8" t="s">
        <v>150</v>
      </c>
      <c r="B9" s="8" t="s">
        <v>541</v>
      </c>
      <c r="C9" s="8" t="s">
        <v>435</v>
      </c>
      <c r="D9" s="11" t="s">
        <v>1035</v>
      </c>
      <c r="E9" s="11" t="s">
        <v>1036</v>
      </c>
      <c r="F9" s="11" t="s">
        <v>32</v>
      </c>
      <c r="G9" s="8" t="s">
        <v>104</v>
      </c>
      <c r="H9" s="9" t="s">
        <v>894</v>
      </c>
      <c r="I9" s="8" t="s">
        <v>59</v>
      </c>
    </row>
    <row r="10" customFormat="false" ht="27.75" hidden="false" customHeight="true" outlineLevel="0" collapsed="false">
      <c r="A10" s="6" t="s">
        <v>157</v>
      </c>
      <c r="B10" s="6" t="s">
        <v>158</v>
      </c>
      <c r="C10" s="6" t="s">
        <v>421</v>
      </c>
      <c r="D10" s="10" t="s">
        <v>1037</v>
      </c>
      <c r="E10" s="10" t="s">
        <v>1031</v>
      </c>
      <c r="F10" s="10" t="s">
        <v>32</v>
      </c>
      <c r="G10" s="6" t="s">
        <v>104</v>
      </c>
      <c r="H10" s="7" t="s">
        <v>894</v>
      </c>
      <c r="I10" s="6" t="s">
        <v>62</v>
      </c>
    </row>
    <row r="11" customFormat="false" ht="27.75" hidden="false" customHeight="true" outlineLevel="0" collapsed="false">
      <c r="A11" s="8" t="s">
        <v>170</v>
      </c>
      <c r="B11" s="8" t="s">
        <v>566</v>
      </c>
      <c r="C11" s="8" t="s">
        <v>421</v>
      </c>
      <c r="D11" s="11" t="s">
        <v>1038</v>
      </c>
      <c r="E11" s="11" t="s">
        <v>1021</v>
      </c>
      <c r="F11" s="11" t="s">
        <v>1039</v>
      </c>
      <c r="G11" s="8" t="s">
        <v>104</v>
      </c>
      <c r="H11" s="9" t="s">
        <v>1040</v>
      </c>
      <c r="I11" s="8" t="s">
        <v>59</v>
      </c>
    </row>
    <row r="12" customFormat="false" ht="27.75" hidden="false" customHeight="true" outlineLevel="0" collapsed="false">
      <c r="A12" s="6" t="s">
        <v>170</v>
      </c>
      <c r="B12" s="6" t="s">
        <v>566</v>
      </c>
      <c r="C12" s="6" t="s">
        <v>463</v>
      </c>
      <c r="D12" s="10" t="s">
        <v>838</v>
      </c>
      <c r="E12" s="10" t="s">
        <v>1041</v>
      </c>
      <c r="F12" s="10" t="s">
        <v>1042</v>
      </c>
      <c r="G12" s="6" t="s">
        <v>104</v>
      </c>
      <c r="H12" s="7" t="s">
        <v>1043</v>
      </c>
      <c r="I12" s="6" t="s">
        <v>59</v>
      </c>
    </row>
    <row r="13" customFormat="false" ht="27.75" hidden="false" customHeight="true" outlineLevel="0" collapsed="false">
      <c r="A13" s="8" t="s">
        <v>202</v>
      </c>
      <c r="B13" s="8" t="s">
        <v>203</v>
      </c>
      <c r="C13" s="8" t="s">
        <v>435</v>
      </c>
      <c r="D13" s="11" t="s">
        <v>1044</v>
      </c>
      <c r="E13" s="11" t="s">
        <v>1028</v>
      </c>
      <c r="F13" s="11" t="s">
        <v>1045</v>
      </c>
      <c r="G13" s="8" t="s">
        <v>104</v>
      </c>
      <c r="H13" s="9" t="s">
        <v>894</v>
      </c>
      <c r="I13" s="8" t="s">
        <v>59</v>
      </c>
    </row>
    <row r="14" customFormat="false" ht="27.75" hidden="false" customHeight="true" outlineLevel="0" collapsed="false">
      <c r="A14" s="6" t="s">
        <v>215</v>
      </c>
      <c r="B14" s="6" t="s">
        <v>216</v>
      </c>
      <c r="C14" s="6" t="s">
        <v>421</v>
      </c>
      <c r="D14" s="10" t="s">
        <v>1046</v>
      </c>
      <c r="E14" s="10" t="s">
        <v>1047</v>
      </c>
      <c r="F14" s="10" t="s">
        <v>1048</v>
      </c>
      <c r="G14" s="6" t="s">
        <v>1049</v>
      </c>
      <c r="H14" s="7" t="s">
        <v>1050</v>
      </c>
      <c r="I14" s="6" t="s">
        <v>59</v>
      </c>
    </row>
    <row r="15" customFormat="false" ht="27.75" hidden="false" customHeight="true" outlineLevel="0" collapsed="false">
      <c r="A15" s="8" t="s">
        <v>215</v>
      </c>
      <c r="B15" s="8" t="s">
        <v>216</v>
      </c>
      <c r="C15" s="8" t="s">
        <v>466</v>
      </c>
      <c r="D15" s="11" t="s">
        <v>1051</v>
      </c>
      <c r="E15" s="11" t="s">
        <v>1052</v>
      </c>
      <c r="F15" s="11" t="s">
        <v>32</v>
      </c>
      <c r="G15" s="8" t="s">
        <v>1053</v>
      </c>
      <c r="H15" s="9" t="s">
        <v>1054</v>
      </c>
      <c r="I15" s="8" t="s">
        <v>59</v>
      </c>
    </row>
    <row r="16" customFormat="false" ht="27.75" hidden="false" customHeight="true" outlineLevel="0" collapsed="false">
      <c r="A16" s="6" t="s">
        <v>215</v>
      </c>
      <c r="B16" s="6" t="s">
        <v>216</v>
      </c>
      <c r="C16" s="6" t="s">
        <v>463</v>
      </c>
      <c r="D16" s="10" t="s">
        <v>1055</v>
      </c>
      <c r="E16" s="10" t="s">
        <v>1041</v>
      </c>
      <c r="F16" s="10" t="s">
        <v>32</v>
      </c>
      <c r="G16" s="6" t="s">
        <v>1056</v>
      </c>
      <c r="H16" s="7" t="s">
        <v>1057</v>
      </c>
      <c r="I16" s="6" t="s">
        <v>59</v>
      </c>
    </row>
    <row r="17" customFormat="false" ht="27.75" hidden="false" customHeight="true" outlineLevel="0" collapsed="false">
      <c r="A17" s="8" t="s">
        <v>226</v>
      </c>
      <c r="B17" s="8" t="s">
        <v>227</v>
      </c>
      <c r="C17" s="8" t="s">
        <v>421</v>
      </c>
      <c r="D17" s="11" t="s">
        <v>1058</v>
      </c>
      <c r="E17" s="11" t="s">
        <v>1021</v>
      </c>
      <c r="F17" s="11" t="s">
        <v>32</v>
      </c>
      <c r="G17" s="8" t="s">
        <v>1059</v>
      </c>
      <c r="H17" s="9" t="s">
        <v>1023</v>
      </c>
      <c r="I17" s="8" t="s">
        <v>59</v>
      </c>
    </row>
    <row r="18" customFormat="false" ht="27.75" hidden="false" customHeight="true" outlineLevel="0" collapsed="false">
      <c r="A18" s="6" t="s">
        <v>233</v>
      </c>
      <c r="B18" s="6" t="s">
        <v>234</v>
      </c>
      <c r="C18" s="6" t="s">
        <v>466</v>
      </c>
      <c r="D18" s="10" t="s">
        <v>1060</v>
      </c>
      <c r="E18" s="10" t="s">
        <v>1061</v>
      </c>
      <c r="F18" s="10" t="s">
        <v>32</v>
      </c>
      <c r="G18" s="6" t="s">
        <v>1062</v>
      </c>
      <c r="H18" s="7" t="s">
        <v>1063</v>
      </c>
      <c r="I18" s="6" t="s">
        <v>62</v>
      </c>
    </row>
    <row r="19" customFormat="false" ht="27.75" hidden="false" customHeight="true" outlineLevel="0" collapsed="false">
      <c r="A19" s="8" t="s">
        <v>239</v>
      </c>
      <c r="B19" s="8" t="s">
        <v>240</v>
      </c>
      <c r="C19" s="8" t="s">
        <v>421</v>
      </c>
      <c r="D19" s="11" t="s">
        <v>1064</v>
      </c>
      <c r="E19" s="11" t="s">
        <v>1021</v>
      </c>
      <c r="F19" s="11" t="s">
        <v>32</v>
      </c>
      <c r="G19" s="8" t="s">
        <v>104</v>
      </c>
      <c r="H19" s="9" t="s">
        <v>894</v>
      </c>
      <c r="I19" s="8" t="s">
        <v>62</v>
      </c>
    </row>
    <row r="20" customFormat="false" ht="27.75" hidden="false" customHeight="true" outlineLevel="0" collapsed="false">
      <c r="A20" s="6" t="s">
        <v>245</v>
      </c>
      <c r="B20" s="6" t="s">
        <v>246</v>
      </c>
      <c r="C20" s="6" t="s">
        <v>435</v>
      </c>
      <c r="D20" s="10" t="s">
        <v>1065</v>
      </c>
      <c r="E20" s="10" t="s">
        <v>1066</v>
      </c>
      <c r="F20" s="10" t="s">
        <v>32</v>
      </c>
      <c r="G20" s="6" t="s">
        <v>1067</v>
      </c>
      <c r="H20" s="7" t="s">
        <v>1068</v>
      </c>
      <c r="I20" s="6" t="s">
        <v>59</v>
      </c>
    </row>
    <row r="21" customFormat="false" ht="27.75" hidden="false" customHeight="true" outlineLevel="0" collapsed="false">
      <c r="A21" s="8" t="s">
        <v>252</v>
      </c>
      <c r="B21" s="8" t="s">
        <v>650</v>
      </c>
      <c r="C21" s="8" t="s">
        <v>435</v>
      </c>
      <c r="D21" s="11" t="s">
        <v>1069</v>
      </c>
      <c r="E21" s="11" t="s">
        <v>1028</v>
      </c>
      <c r="F21" s="11" t="s">
        <v>1070</v>
      </c>
      <c r="G21" s="8" t="s">
        <v>104</v>
      </c>
      <c r="H21" s="9" t="s">
        <v>894</v>
      </c>
      <c r="I21" s="8" t="s">
        <v>62</v>
      </c>
    </row>
    <row r="22" customFormat="false" ht="27.75" hidden="false" customHeight="true" outlineLevel="0" collapsed="false">
      <c r="A22" s="6" t="s">
        <v>260</v>
      </c>
      <c r="B22" s="6" t="s">
        <v>261</v>
      </c>
      <c r="C22" s="6" t="s">
        <v>421</v>
      </c>
      <c r="D22" s="10" t="s">
        <v>1071</v>
      </c>
      <c r="E22" s="10" t="s">
        <v>1072</v>
      </c>
      <c r="F22" s="10" t="s">
        <v>32</v>
      </c>
      <c r="G22" s="6" t="s">
        <v>104</v>
      </c>
      <c r="H22" s="7" t="s">
        <v>1073</v>
      </c>
      <c r="I22" s="6" t="s">
        <v>62</v>
      </c>
    </row>
    <row r="23" customFormat="false" ht="27.75" hidden="false" customHeight="true" outlineLevel="0" collapsed="false">
      <c r="A23" s="8" t="s">
        <v>274</v>
      </c>
      <c r="B23" s="8" t="s">
        <v>657</v>
      </c>
      <c r="C23" s="8" t="s">
        <v>270</v>
      </c>
      <c r="D23" s="11" t="s">
        <v>1074</v>
      </c>
      <c r="E23" s="11" t="s">
        <v>1075</v>
      </c>
      <c r="F23" s="11" t="s">
        <v>1076</v>
      </c>
      <c r="G23" s="8" t="s">
        <v>835</v>
      </c>
      <c r="H23" s="9" t="s">
        <v>1077</v>
      </c>
      <c r="I23" s="8" t="s">
        <v>59</v>
      </c>
    </row>
    <row r="24" customFormat="false" ht="27.75" hidden="false" customHeight="true" outlineLevel="0" collapsed="false">
      <c r="A24" s="6" t="s">
        <v>293</v>
      </c>
      <c r="B24" s="6" t="s">
        <v>294</v>
      </c>
      <c r="C24" s="6" t="s">
        <v>435</v>
      </c>
      <c r="D24" s="10" t="s">
        <v>1078</v>
      </c>
      <c r="E24" s="10" t="s">
        <v>1028</v>
      </c>
      <c r="F24" s="10" t="s">
        <v>1079</v>
      </c>
      <c r="G24" s="6" t="s">
        <v>104</v>
      </c>
      <c r="H24" s="7" t="s">
        <v>894</v>
      </c>
      <c r="I24" s="6" t="s">
        <v>59</v>
      </c>
    </row>
    <row r="25" customFormat="false" ht="27.75" hidden="false" customHeight="true" outlineLevel="0" collapsed="false">
      <c r="A25" s="8" t="s">
        <v>300</v>
      </c>
      <c r="B25" s="8" t="s">
        <v>301</v>
      </c>
      <c r="C25" s="8" t="s">
        <v>435</v>
      </c>
      <c r="D25" s="11" t="s">
        <v>1080</v>
      </c>
      <c r="E25" s="11" t="s">
        <v>1028</v>
      </c>
      <c r="F25" s="11" t="s">
        <v>1081</v>
      </c>
      <c r="G25" s="8" t="s">
        <v>104</v>
      </c>
      <c r="H25" s="9" t="s">
        <v>894</v>
      </c>
      <c r="I25" s="8" t="s">
        <v>62</v>
      </c>
    </row>
    <row r="26" customFormat="false" ht="27.75" hidden="false" customHeight="true" outlineLevel="0" collapsed="false">
      <c r="A26" s="6" t="s">
        <v>314</v>
      </c>
      <c r="B26" s="6" t="s">
        <v>315</v>
      </c>
      <c r="C26" s="6" t="s">
        <v>435</v>
      </c>
      <c r="D26" s="10" t="s">
        <v>1082</v>
      </c>
      <c r="E26" s="10" t="s">
        <v>1083</v>
      </c>
      <c r="F26" s="10" t="s">
        <v>1084</v>
      </c>
      <c r="G26" s="6" t="s">
        <v>941</v>
      </c>
      <c r="H26" s="7" t="s">
        <v>1085</v>
      </c>
      <c r="I26" s="6" t="s">
        <v>62</v>
      </c>
    </row>
    <row r="27" customFormat="false" ht="27.75" hidden="false" customHeight="true" outlineLevel="0" collapsed="false">
      <c r="A27" s="8" t="s">
        <v>322</v>
      </c>
      <c r="B27" s="8" t="s">
        <v>323</v>
      </c>
      <c r="C27" s="8" t="s">
        <v>435</v>
      </c>
      <c r="D27" s="11" t="s">
        <v>1086</v>
      </c>
      <c r="E27" s="11" t="s">
        <v>1087</v>
      </c>
      <c r="F27" s="11" t="s">
        <v>1088</v>
      </c>
      <c r="G27" s="8" t="s">
        <v>104</v>
      </c>
      <c r="H27" s="9" t="s">
        <v>1089</v>
      </c>
      <c r="I27" s="8" t="s">
        <v>59</v>
      </c>
    </row>
    <row r="28" customFormat="false" ht="27.75" hidden="false" customHeight="true" outlineLevel="0" collapsed="false">
      <c r="A28" s="6" t="s">
        <v>332</v>
      </c>
      <c r="B28" s="6" t="s">
        <v>333</v>
      </c>
      <c r="C28" s="6" t="s">
        <v>435</v>
      </c>
      <c r="D28" s="10" t="s">
        <v>1078</v>
      </c>
      <c r="E28" s="10" t="s">
        <v>1028</v>
      </c>
      <c r="F28" s="10" t="s">
        <v>1090</v>
      </c>
      <c r="G28" s="6" t="s">
        <v>104</v>
      </c>
      <c r="H28" s="7" t="s">
        <v>894</v>
      </c>
      <c r="I28" s="6" t="s">
        <v>62</v>
      </c>
    </row>
    <row r="29" customFormat="false" ht="27.75" hidden="false" customHeight="true" outlineLevel="0" collapsed="false">
      <c r="A29" s="8" t="s">
        <v>356</v>
      </c>
      <c r="B29" s="8" t="s">
        <v>357</v>
      </c>
      <c r="C29" s="8" t="s">
        <v>270</v>
      </c>
      <c r="D29" s="11" t="s">
        <v>1091</v>
      </c>
      <c r="E29" s="11" t="s">
        <v>1092</v>
      </c>
      <c r="F29" s="11" t="s">
        <v>1093</v>
      </c>
      <c r="G29" s="8" t="s">
        <v>1094</v>
      </c>
      <c r="H29" s="9" t="s">
        <v>1095</v>
      </c>
      <c r="I29" s="8" t="s">
        <v>62</v>
      </c>
    </row>
    <row r="30" customFormat="false" ht="27.75" hidden="false" customHeight="true" outlineLevel="0" collapsed="false">
      <c r="A30" s="6" t="s">
        <v>820</v>
      </c>
      <c r="B30" s="6" t="s">
        <v>1096</v>
      </c>
      <c r="C30" s="6" t="s">
        <v>435</v>
      </c>
      <c r="D30" s="10" t="s">
        <v>1097</v>
      </c>
      <c r="E30" s="10" t="s">
        <v>1098</v>
      </c>
      <c r="F30" s="10" t="s">
        <v>1099</v>
      </c>
      <c r="G30" s="6" t="s">
        <v>104</v>
      </c>
      <c r="H30" s="7" t="s">
        <v>1100</v>
      </c>
      <c r="I30" s="6" t="s">
        <v>59</v>
      </c>
    </row>
    <row r="31" customFormat="false" ht="27.75" hidden="false" customHeight="true" outlineLevel="0" collapsed="false">
      <c r="A31" s="8" t="s">
        <v>364</v>
      </c>
      <c r="B31" s="8" t="s">
        <v>365</v>
      </c>
      <c r="C31" s="8" t="s">
        <v>435</v>
      </c>
      <c r="D31" s="11" t="s">
        <v>1101</v>
      </c>
      <c r="E31" s="11" t="s">
        <v>1028</v>
      </c>
      <c r="F31" s="11" t="s">
        <v>1102</v>
      </c>
      <c r="G31" s="8" t="s">
        <v>104</v>
      </c>
      <c r="H31" s="9" t="s">
        <v>894</v>
      </c>
      <c r="I31" s="8" t="s">
        <v>59</v>
      </c>
    </row>
    <row r="32" customFormat="false" ht="27.75" hidden="false" customHeight="true" outlineLevel="0" collapsed="false">
      <c r="A32" s="6" t="s">
        <v>368</v>
      </c>
      <c r="B32" s="6" t="s">
        <v>369</v>
      </c>
      <c r="C32" s="6" t="s">
        <v>435</v>
      </c>
      <c r="D32" s="10" t="s">
        <v>1103</v>
      </c>
      <c r="E32" s="10" t="s">
        <v>1028</v>
      </c>
      <c r="F32" s="10" t="s">
        <v>1104</v>
      </c>
      <c r="G32" s="6" t="s">
        <v>104</v>
      </c>
      <c r="H32" s="7" t="s">
        <v>894</v>
      </c>
      <c r="I32" s="6" t="s">
        <v>59</v>
      </c>
    </row>
    <row r="33" customFormat="false" ht="27.75" hidden="false" customHeight="true" outlineLevel="0" collapsed="false">
      <c r="A33" s="8" t="s">
        <v>373</v>
      </c>
      <c r="B33" s="8" t="s">
        <v>374</v>
      </c>
      <c r="C33" s="8" t="s">
        <v>435</v>
      </c>
      <c r="D33" s="11" t="s">
        <v>1105</v>
      </c>
      <c r="E33" s="11" t="s">
        <v>1106</v>
      </c>
      <c r="F33" s="11" t="s">
        <v>1107</v>
      </c>
      <c r="G33" s="8" t="s">
        <v>104</v>
      </c>
      <c r="H33" s="9" t="s">
        <v>894</v>
      </c>
      <c r="I33" s="8" t="s">
        <v>59</v>
      </c>
    </row>
    <row r="34" customFormat="false" ht="27.75" hidden="false" customHeight="true" outlineLevel="0" collapsed="false">
      <c r="A34" s="6" t="s">
        <v>380</v>
      </c>
      <c r="B34" s="6" t="s">
        <v>381</v>
      </c>
      <c r="C34" s="6" t="s">
        <v>435</v>
      </c>
      <c r="D34" s="10" t="s">
        <v>1030</v>
      </c>
      <c r="E34" s="10" t="s">
        <v>1108</v>
      </c>
      <c r="F34" s="10" t="s">
        <v>1109</v>
      </c>
      <c r="G34" s="6" t="s">
        <v>104</v>
      </c>
      <c r="H34" s="7" t="s">
        <v>894</v>
      </c>
      <c r="I34" s="6" t="s">
        <v>59</v>
      </c>
    </row>
    <row r="35" customFormat="false" ht="27.75" hidden="false" customHeight="true" outlineLevel="0" collapsed="false">
      <c r="A35" s="8" t="s">
        <v>387</v>
      </c>
      <c r="B35" s="8" t="s">
        <v>388</v>
      </c>
      <c r="C35" s="8" t="s">
        <v>435</v>
      </c>
      <c r="D35" s="11" t="s">
        <v>1030</v>
      </c>
      <c r="E35" s="11" t="s">
        <v>1108</v>
      </c>
      <c r="F35" s="11" t="s">
        <v>1109</v>
      </c>
      <c r="G35" s="8" t="s">
        <v>104</v>
      </c>
      <c r="H35" s="9" t="s">
        <v>894</v>
      </c>
      <c r="I35" s="8" t="s">
        <v>59</v>
      </c>
    </row>
    <row r="36" customFormat="false" ht="27.75" hidden="false" customHeight="true" outlineLevel="0" collapsed="false">
      <c r="A36" s="6" t="s">
        <v>141</v>
      </c>
      <c r="B36" s="6" t="s">
        <v>142</v>
      </c>
      <c r="C36" s="6" t="s">
        <v>435</v>
      </c>
      <c r="D36" s="10" t="s">
        <v>1110</v>
      </c>
      <c r="E36" s="10" t="s">
        <v>1111</v>
      </c>
      <c r="F36" s="10" t="s">
        <v>1112</v>
      </c>
      <c r="G36" s="6" t="s">
        <v>104</v>
      </c>
      <c r="H36" s="7" t="s">
        <v>894</v>
      </c>
      <c r="I36" s="6" t="s">
        <v>62</v>
      </c>
    </row>
    <row r="37" customFormat="false" ht="27.75" hidden="false" customHeight="true" outlineLevel="0" collapsed="false">
      <c r="A37" s="8" t="s">
        <v>392</v>
      </c>
      <c r="B37" s="8" t="s">
        <v>393</v>
      </c>
      <c r="C37" s="8" t="s">
        <v>270</v>
      </c>
      <c r="D37" s="11" t="s">
        <v>1113</v>
      </c>
      <c r="E37" s="11" t="s">
        <v>1114</v>
      </c>
      <c r="F37" s="11" t="s">
        <v>1115</v>
      </c>
      <c r="G37" s="8" t="s">
        <v>1094</v>
      </c>
      <c r="H37" s="9" t="s">
        <v>1095</v>
      </c>
      <c r="I37" s="8" t="s">
        <v>59</v>
      </c>
    </row>
    <row r="38" customFormat="false" ht="27.75" hidden="false" customHeight="true" outlineLevel="0" collapsed="false">
      <c r="A38" s="6" t="s">
        <v>399</v>
      </c>
      <c r="B38" s="6" t="s">
        <v>400</v>
      </c>
      <c r="C38" s="6" t="s">
        <v>278</v>
      </c>
      <c r="D38" s="10" t="s">
        <v>1116</v>
      </c>
      <c r="E38" s="10" t="s">
        <v>1114</v>
      </c>
      <c r="F38" s="10" t="s">
        <v>1117</v>
      </c>
      <c r="G38" s="6" t="s">
        <v>941</v>
      </c>
      <c r="H38" s="7" t="s">
        <v>1118</v>
      </c>
      <c r="I38" s="6" t="s">
        <v>59</v>
      </c>
    </row>
  </sheetData>
  <autoFilter ref="A1:I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78"/>
    <col collapsed="false" customWidth="true" hidden="false" outlineLevel="0" max="4" min="4" style="0" width="30"/>
    <col collapsed="false" customWidth="true" hidden="false" outlineLevel="0" max="5" min="5" style="0" width="34"/>
    <col collapsed="false" customWidth="true" hidden="false" outlineLevel="0" max="6" min="6" style="0" width="26"/>
    <col collapsed="false" customWidth="true" hidden="false" outlineLevel="0" max="7" min="7" style="0" width="32"/>
    <col collapsed="false" customWidth="true" hidden="false" outlineLevel="0" max="8" min="8" style="0" width="16"/>
    <col collapsed="false" customWidth="true" hidden="false" outlineLevel="0" max="9" min="9" style="0" width="60"/>
  </cols>
  <sheetData>
    <row r="1" customFormat="false" ht="30" hidden="false" customHeight="true" outlineLevel="0" collapsed="false">
      <c r="A1" s="5" t="s">
        <v>1119</v>
      </c>
      <c r="B1" s="5" t="s">
        <v>417</v>
      </c>
      <c r="C1" s="5" t="s">
        <v>1120</v>
      </c>
      <c r="D1" s="5" t="s">
        <v>1121</v>
      </c>
      <c r="E1" s="5" t="s">
        <v>1122</v>
      </c>
      <c r="F1" s="5" t="s">
        <v>1123</v>
      </c>
      <c r="G1" s="5" t="s">
        <v>1124</v>
      </c>
      <c r="H1" s="5" t="s">
        <v>1125</v>
      </c>
      <c r="I1" s="5" t="s">
        <v>4</v>
      </c>
    </row>
    <row r="2" customFormat="false" ht="30" hidden="false" customHeight="true" outlineLevel="0" collapsed="false">
      <c r="A2" s="6" t="s">
        <v>566</v>
      </c>
      <c r="B2" s="6" t="s">
        <v>421</v>
      </c>
      <c r="C2" s="10" t="s">
        <v>569</v>
      </c>
      <c r="D2" s="6" t="s">
        <v>1126</v>
      </c>
      <c r="E2" s="6" t="s">
        <v>1127</v>
      </c>
      <c r="F2" s="6" t="s">
        <v>1128</v>
      </c>
      <c r="G2" s="6" t="s">
        <v>1129</v>
      </c>
      <c r="H2" s="6" t="s">
        <v>1130</v>
      </c>
      <c r="I2" s="7" t="s">
        <v>1131</v>
      </c>
    </row>
    <row r="3" customFormat="false" ht="30" hidden="false" customHeight="true" outlineLevel="0" collapsed="false">
      <c r="A3" s="8" t="s">
        <v>566</v>
      </c>
      <c r="B3" s="8" t="s">
        <v>571</v>
      </c>
      <c r="C3" s="11" t="s">
        <v>572</v>
      </c>
      <c r="D3" s="8" t="s">
        <v>1132</v>
      </c>
      <c r="E3" s="8" t="s">
        <v>1127</v>
      </c>
      <c r="F3" s="8" t="s">
        <v>1128</v>
      </c>
      <c r="G3" s="8" t="s">
        <v>1133</v>
      </c>
      <c r="H3" s="8" t="s">
        <v>1130</v>
      </c>
      <c r="I3" s="9" t="s">
        <v>1134</v>
      </c>
    </row>
    <row r="4" customFormat="false" ht="30" hidden="false" customHeight="true" outlineLevel="0" collapsed="false">
      <c r="A4" s="6" t="s">
        <v>566</v>
      </c>
      <c r="B4" s="6" t="s">
        <v>463</v>
      </c>
      <c r="C4" s="10" t="s">
        <v>567</v>
      </c>
      <c r="D4" s="6" t="s">
        <v>1132</v>
      </c>
      <c r="E4" s="6" t="s">
        <v>1127</v>
      </c>
      <c r="F4" s="6" t="s">
        <v>1128</v>
      </c>
      <c r="G4" s="6" t="s">
        <v>1135</v>
      </c>
      <c r="H4" s="6" t="s">
        <v>1130</v>
      </c>
      <c r="I4" s="7"/>
    </row>
    <row r="5" customFormat="false" ht="30" hidden="false" customHeight="true" outlineLevel="0" collapsed="false">
      <c r="A5" s="8" t="s">
        <v>566</v>
      </c>
      <c r="B5" s="8" t="s">
        <v>466</v>
      </c>
      <c r="C5" s="11" t="s">
        <v>575</v>
      </c>
      <c r="D5" s="8" t="s">
        <v>1132</v>
      </c>
      <c r="E5" s="8" t="s">
        <v>1127</v>
      </c>
      <c r="F5" s="8" t="s">
        <v>1128</v>
      </c>
      <c r="G5" s="8" t="s">
        <v>1133</v>
      </c>
      <c r="H5" s="8" t="s">
        <v>1130</v>
      </c>
      <c r="I5" s="9"/>
    </row>
    <row r="6" customFormat="false" ht="30" hidden="false" customHeight="true" outlineLevel="0" collapsed="false">
      <c r="A6" s="6" t="s">
        <v>98</v>
      </c>
      <c r="B6" s="6" t="s">
        <v>435</v>
      </c>
      <c r="C6" s="10" t="s">
        <v>440</v>
      </c>
      <c r="D6" s="6" t="s">
        <v>1136</v>
      </c>
      <c r="E6" s="6" t="s">
        <v>1137</v>
      </c>
      <c r="F6" s="6" t="s">
        <v>1138</v>
      </c>
      <c r="G6" s="6" t="s">
        <v>1139</v>
      </c>
      <c r="H6" s="6" t="s">
        <v>1140</v>
      </c>
      <c r="I6" s="7" t="s">
        <v>1141</v>
      </c>
    </row>
    <row r="7" customFormat="false" ht="30" hidden="false" customHeight="true" outlineLevel="0" collapsed="false">
      <c r="A7" s="8" t="s">
        <v>98</v>
      </c>
      <c r="B7" s="8" t="s">
        <v>435</v>
      </c>
      <c r="C7" s="11" t="s">
        <v>446</v>
      </c>
      <c r="D7" s="8" t="s">
        <v>1142</v>
      </c>
      <c r="E7" s="8" t="s">
        <v>1143</v>
      </c>
      <c r="F7" s="8" t="s">
        <v>1138</v>
      </c>
      <c r="G7" s="8" t="s">
        <v>1144</v>
      </c>
      <c r="H7" s="8" t="s">
        <v>1140</v>
      </c>
      <c r="I7" s="9" t="s">
        <v>1145</v>
      </c>
    </row>
    <row r="8" customFormat="false" ht="30" hidden="false" customHeight="true" outlineLevel="0" collapsed="false">
      <c r="A8" s="6" t="s">
        <v>98</v>
      </c>
      <c r="B8" s="6" t="s">
        <v>435</v>
      </c>
      <c r="C8" s="10" t="s">
        <v>1146</v>
      </c>
      <c r="D8" s="6" t="s">
        <v>1147</v>
      </c>
      <c r="E8" s="6" t="s">
        <v>1148</v>
      </c>
      <c r="F8" s="6" t="s">
        <v>32</v>
      </c>
      <c r="G8" s="6" t="s">
        <v>32</v>
      </c>
      <c r="H8" s="6" t="s">
        <v>1149</v>
      </c>
      <c r="I8" s="7" t="s">
        <v>1150</v>
      </c>
    </row>
    <row r="9" customFormat="false" ht="30" hidden="false" customHeight="true" outlineLevel="0" collapsed="false">
      <c r="A9" s="8" t="s">
        <v>109</v>
      </c>
      <c r="B9" s="8" t="s">
        <v>435</v>
      </c>
      <c r="C9" s="11" t="s">
        <v>470</v>
      </c>
      <c r="D9" s="8" t="s">
        <v>1132</v>
      </c>
      <c r="E9" s="8" t="s">
        <v>1151</v>
      </c>
      <c r="F9" s="8" t="s">
        <v>1138</v>
      </c>
      <c r="G9" s="8" t="s">
        <v>1152</v>
      </c>
      <c r="H9" s="8" t="s">
        <v>1140</v>
      </c>
      <c r="I9" s="9" t="s">
        <v>1153</v>
      </c>
    </row>
    <row r="10" customFormat="false" ht="30" hidden="false" customHeight="true" outlineLevel="0" collapsed="false">
      <c r="A10" s="6" t="s">
        <v>109</v>
      </c>
      <c r="B10" s="6" t="s">
        <v>435</v>
      </c>
      <c r="C10" s="10" t="s">
        <v>472</v>
      </c>
      <c r="D10" s="6" t="s">
        <v>1132</v>
      </c>
      <c r="E10" s="6" t="s">
        <v>1154</v>
      </c>
      <c r="F10" s="6" t="s">
        <v>1138</v>
      </c>
      <c r="G10" s="6" t="s">
        <v>1155</v>
      </c>
      <c r="H10" s="6" t="s">
        <v>1140</v>
      </c>
      <c r="I10" s="7" t="s">
        <v>1156</v>
      </c>
    </row>
    <row r="11" customFormat="false" ht="30" hidden="false" customHeight="true" outlineLevel="0" collapsed="false">
      <c r="A11" s="8" t="s">
        <v>1157</v>
      </c>
      <c r="B11" s="8" t="s">
        <v>421</v>
      </c>
      <c r="C11" s="11" t="s">
        <v>529</v>
      </c>
      <c r="D11" s="8" t="s">
        <v>1132</v>
      </c>
      <c r="E11" s="8" t="s">
        <v>1151</v>
      </c>
      <c r="F11" s="8" t="s">
        <v>1138</v>
      </c>
      <c r="G11" s="8" t="s">
        <v>1152</v>
      </c>
      <c r="H11" s="8" t="s">
        <v>1140</v>
      </c>
      <c r="I11" s="9"/>
    </row>
    <row r="12" customFormat="false" ht="30" hidden="false" customHeight="true" outlineLevel="0" collapsed="false">
      <c r="A12" s="6" t="s">
        <v>1157</v>
      </c>
      <c r="B12" s="6" t="s">
        <v>429</v>
      </c>
      <c r="C12" s="10" t="s">
        <v>531</v>
      </c>
      <c r="D12" s="6" t="s">
        <v>1132</v>
      </c>
      <c r="E12" s="6" t="s">
        <v>1151</v>
      </c>
      <c r="F12" s="6" t="s">
        <v>1138</v>
      </c>
      <c r="G12" s="6" t="s">
        <v>1152</v>
      </c>
      <c r="H12" s="6" t="s">
        <v>1140</v>
      </c>
      <c r="I12" s="7"/>
    </row>
    <row r="13" customFormat="false" ht="30" hidden="false" customHeight="true" outlineLevel="0" collapsed="false">
      <c r="A13" s="8" t="s">
        <v>1158</v>
      </c>
      <c r="B13" s="8" t="s">
        <v>435</v>
      </c>
      <c r="C13" s="11" t="s">
        <v>490</v>
      </c>
      <c r="D13" s="8" t="s">
        <v>1132</v>
      </c>
      <c r="E13" s="8" t="s">
        <v>1137</v>
      </c>
      <c r="F13" s="8" t="s">
        <v>1138</v>
      </c>
      <c r="G13" s="8" t="s">
        <v>1139</v>
      </c>
      <c r="H13" s="8" t="s">
        <v>1140</v>
      </c>
      <c r="I13" s="9" t="s">
        <v>1159</v>
      </c>
    </row>
    <row r="14" customFormat="false" ht="30" hidden="false" customHeight="true" outlineLevel="0" collapsed="false">
      <c r="A14" s="6" t="s">
        <v>1160</v>
      </c>
      <c r="B14" s="6" t="s">
        <v>435</v>
      </c>
      <c r="C14" s="10" t="s">
        <v>1161</v>
      </c>
      <c r="D14" s="6" t="s">
        <v>1162</v>
      </c>
      <c r="E14" s="6" t="s">
        <v>1154</v>
      </c>
      <c r="F14" s="6" t="s">
        <v>1163</v>
      </c>
      <c r="G14" s="6" t="s">
        <v>1155</v>
      </c>
      <c r="H14" s="6" t="s">
        <v>1140</v>
      </c>
      <c r="I14" s="7" t="s">
        <v>1156</v>
      </c>
    </row>
    <row r="15" customFormat="false" ht="30" hidden="false" customHeight="true" outlineLevel="0" collapsed="false">
      <c r="A15" s="8" t="s">
        <v>1160</v>
      </c>
      <c r="B15" s="8" t="s">
        <v>435</v>
      </c>
      <c r="C15" s="11" t="s">
        <v>1164</v>
      </c>
      <c r="D15" s="8" t="s">
        <v>1165</v>
      </c>
      <c r="E15" s="8" t="s">
        <v>1151</v>
      </c>
      <c r="F15" s="8" t="s">
        <v>1166</v>
      </c>
      <c r="G15" s="8" t="s">
        <v>1152</v>
      </c>
      <c r="H15" s="8" t="s">
        <v>1140</v>
      </c>
      <c r="I15" s="9"/>
    </row>
    <row r="16" customFormat="false" ht="30" hidden="false" customHeight="true" outlineLevel="0" collapsed="false">
      <c r="A16" s="6" t="s">
        <v>566</v>
      </c>
      <c r="B16" s="6" t="s">
        <v>435</v>
      </c>
      <c r="C16" s="10" t="s">
        <v>1167</v>
      </c>
      <c r="D16" s="6" t="s">
        <v>1168</v>
      </c>
      <c r="E16" s="6" t="s">
        <v>1169</v>
      </c>
      <c r="F16" s="6" t="s">
        <v>1170</v>
      </c>
      <c r="G16" s="6" t="s">
        <v>1133</v>
      </c>
      <c r="H16" s="6" t="s">
        <v>1140</v>
      </c>
      <c r="I16" s="7" t="s">
        <v>1171</v>
      </c>
    </row>
    <row r="17" customFormat="false" ht="30" hidden="false" customHeight="true" outlineLevel="0" collapsed="false">
      <c r="A17" s="8" t="s">
        <v>796</v>
      </c>
      <c r="B17" s="8" t="s">
        <v>435</v>
      </c>
      <c r="C17" s="11" t="s">
        <v>1172</v>
      </c>
      <c r="D17" s="8" t="s">
        <v>32</v>
      </c>
      <c r="E17" s="8" t="s">
        <v>1173</v>
      </c>
      <c r="F17" s="8" t="s">
        <v>32</v>
      </c>
      <c r="G17" s="8" t="s">
        <v>1174</v>
      </c>
      <c r="H17" s="8" t="s">
        <v>1175</v>
      </c>
      <c r="I17" s="9" t="s">
        <v>1176</v>
      </c>
    </row>
    <row r="18" customFormat="false" ht="30" hidden="false" customHeight="true" outlineLevel="0" collapsed="false">
      <c r="A18" s="6" t="s">
        <v>796</v>
      </c>
      <c r="B18" s="6" t="s">
        <v>435</v>
      </c>
      <c r="C18" s="10" t="s">
        <v>1177</v>
      </c>
      <c r="D18" s="6" t="s">
        <v>1178</v>
      </c>
      <c r="E18" s="6" t="s">
        <v>1179</v>
      </c>
      <c r="F18" s="6" t="s">
        <v>1180</v>
      </c>
      <c r="G18" s="6" t="s">
        <v>1181</v>
      </c>
      <c r="H18" s="6" t="s">
        <v>1140</v>
      </c>
      <c r="I18" s="7" t="s">
        <v>1182</v>
      </c>
    </row>
    <row r="19" customFormat="false" ht="30" hidden="false" customHeight="true" outlineLevel="0" collapsed="false">
      <c r="A19" s="8" t="s">
        <v>1183</v>
      </c>
      <c r="B19" s="8" t="s">
        <v>435</v>
      </c>
      <c r="C19" s="11" t="s">
        <v>704</v>
      </c>
      <c r="D19" s="8" t="s">
        <v>1184</v>
      </c>
      <c r="E19" s="8" t="s">
        <v>1137</v>
      </c>
      <c r="F19" s="8" t="s">
        <v>1185</v>
      </c>
      <c r="G19" s="8" t="s">
        <v>1139</v>
      </c>
      <c r="H19" s="8" t="s">
        <v>1140</v>
      </c>
      <c r="I19" s="9" t="s">
        <v>1186</v>
      </c>
    </row>
    <row r="20" customFormat="false" ht="30" hidden="false" customHeight="true" outlineLevel="0" collapsed="false">
      <c r="A20" s="6" t="s">
        <v>1187</v>
      </c>
      <c r="B20" s="6" t="s">
        <v>435</v>
      </c>
      <c r="C20" s="10" t="s">
        <v>722</v>
      </c>
      <c r="D20" s="6" t="s">
        <v>1132</v>
      </c>
      <c r="E20" s="6" t="s">
        <v>1137</v>
      </c>
      <c r="F20" s="6" t="s">
        <v>1138</v>
      </c>
      <c r="G20" s="6" t="s">
        <v>1139</v>
      </c>
      <c r="H20" s="6" t="s">
        <v>1140</v>
      </c>
      <c r="I20" s="7"/>
    </row>
    <row r="21" customFormat="false" ht="30" hidden="false" customHeight="true" outlineLevel="0" collapsed="false">
      <c r="A21" s="8" t="s">
        <v>1187</v>
      </c>
      <c r="B21" s="8" t="s">
        <v>466</v>
      </c>
      <c r="C21" s="11" t="s">
        <v>729</v>
      </c>
      <c r="D21" s="8" t="s">
        <v>1132</v>
      </c>
      <c r="E21" s="8" t="s">
        <v>1137</v>
      </c>
      <c r="F21" s="8" t="s">
        <v>1138</v>
      </c>
      <c r="G21" s="8" t="s">
        <v>1188</v>
      </c>
      <c r="H21" s="8" t="s">
        <v>1189</v>
      </c>
      <c r="I21" s="9" t="s">
        <v>1190</v>
      </c>
    </row>
    <row r="22" customFormat="false" ht="30" hidden="false" customHeight="true" outlineLevel="0" collapsed="false">
      <c r="A22" s="6" t="s">
        <v>374</v>
      </c>
      <c r="B22" s="6" t="s">
        <v>429</v>
      </c>
      <c r="C22" s="10" t="s">
        <v>734</v>
      </c>
      <c r="D22" s="6" t="s">
        <v>1191</v>
      </c>
      <c r="E22" s="6" t="s">
        <v>1192</v>
      </c>
      <c r="F22" s="6" t="s">
        <v>1193</v>
      </c>
      <c r="G22" s="6" t="s">
        <v>1194</v>
      </c>
      <c r="H22" s="6" t="s">
        <v>1140</v>
      </c>
      <c r="I22" s="7" t="s">
        <v>1195</v>
      </c>
    </row>
    <row r="23" customFormat="false" ht="30" hidden="false" customHeight="true" outlineLevel="0" collapsed="false">
      <c r="A23" s="8" t="s">
        <v>381</v>
      </c>
      <c r="B23" s="8" t="s">
        <v>435</v>
      </c>
      <c r="C23" s="11" t="s">
        <v>1196</v>
      </c>
      <c r="D23" s="8" t="s">
        <v>1132</v>
      </c>
      <c r="E23" s="8" t="s">
        <v>1151</v>
      </c>
      <c r="F23" s="8" t="s">
        <v>1197</v>
      </c>
      <c r="G23" s="8" t="s">
        <v>1152</v>
      </c>
      <c r="H23" s="8" t="s">
        <v>1140</v>
      </c>
      <c r="I23" s="9" t="s">
        <v>1198</v>
      </c>
    </row>
    <row r="24" customFormat="false" ht="30" hidden="false" customHeight="true" outlineLevel="0" collapsed="false">
      <c r="A24" s="6" t="s">
        <v>388</v>
      </c>
      <c r="B24" s="6" t="s">
        <v>435</v>
      </c>
      <c r="C24" s="10" t="s">
        <v>1199</v>
      </c>
      <c r="D24" s="6" t="s">
        <v>1132</v>
      </c>
      <c r="E24" s="6" t="s">
        <v>1151</v>
      </c>
      <c r="F24" s="6" t="s">
        <v>1197</v>
      </c>
      <c r="G24" s="6" t="s">
        <v>1152</v>
      </c>
      <c r="H24" s="6" t="s">
        <v>1140</v>
      </c>
      <c r="I24" s="7"/>
    </row>
    <row r="25" customFormat="false" ht="30" hidden="false" customHeight="true" outlineLevel="0" collapsed="false">
      <c r="A25" s="8" t="s">
        <v>388</v>
      </c>
      <c r="B25" s="8" t="s">
        <v>435</v>
      </c>
      <c r="C25" s="11" t="s">
        <v>761</v>
      </c>
      <c r="D25" s="8" t="s">
        <v>1132</v>
      </c>
      <c r="E25" s="8" t="s">
        <v>1154</v>
      </c>
      <c r="F25" s="8" t="s">
        <v>1138</v>
      </c>
      <c r="G25" s="8" t="s">
        <v>1155</v>
      </c>
      <c r="H25" s="8" t="s">
        <v>1140</v>
      </c>
      <c r="I25" s="9" t="s">
        <v>1156</v>
      </c>
    </row>
    <row r="26" customFormat="false" ht="30" hidden="false" customHeight="true" outlineLevel="0" collapsed="false">
      <c r="A26" s="6" t="s">
        <v>393</v>
      </c>
      <c r="B26" s="6" t="s">
        <v>270</v>
      </c>
      <c r="C26" s="10" t="s">
        <v>764</v>
      </c>
      <c r="D26" s="6" t="s">
        <v>1200</v>
      </c>
      <c r="E26" s="6" t="s">
        <v>1192</v>
      </c>
      <c r="F26" s="6" t="s">
        <v>1201</v>
      </c>
      <c r="G26" s="6" t="s">
        <v>1202</v>
      </c>
      <c r="H26" s="6" t="s">
        <v>1140</v>
      </c>
      <c r="I26" s="7" t="s">
        <v>1203</v>
      </c>
    </row>
    <row r="29" customFormat="false" ht="15" hidden="false" customHeight="false" outlineLevel="0" collapsed="false">
      <c r="A29" s="12" t="s">
        <v>1204</v>
      </c>
    </row>
    <row r="30" customFormat="false" ht="30" hidden="false" customHeight="true" outlineLevel="0" collapsed="false">
      <c r="A30" s="13" t="s">
        <v>1205</v>
      </c>
      <c r="B30" s="13" t="s">
        <v>1206</v>
      </c>
      <c r="C30" s="13" t="s">
        <v>55</v>
      </c>
    </row>
    <row r="31" customFormat="false" ht="30" hidden="false" customHeight="true" outlineLevel="0" collapsed="false">
      <c r="A31" s="14" t="s">
        <v>1207</v>
      </c>
      <c r="B31" s="14" t="s">
        <v>1208</v>
      </c>
      <c r="C31" s="14" t="s">
        <v>1209</v>
      </c>
    </row>
    <row r="32" customFormat="false" ht="30" hidden="false" customHeight="true" outlineLevel="0" collapsed="false">
      <c r="A32" s="15" t="s">
        <v>1210</v>
      </c>
      <c r="B32" s="15" t="s">
        <v>1211</v>
      </c>
      <c r="C32" s="15" t="s">
        <v>1212</v>
      </c>
    </row>
    <row r="33" customFormat="false" ht="30" hidden="false" customHeight="true" outlineLevel="0" collapsed="false">
      <c r="A33" s="14" t="s">
        <v>1213</v>
      </c>
      <c r="B33" s="14" t="s">
        <v>1214</v>
      </c>
      <c r="C33" s="14" t="s">
        <v>1215</v>
      </c>
    </row>
    <row r="34" customFormat="false" ht="30" hidden="false" customHeight="true" outlineLevel="0" collapsed="false">
      <c r="A34" s="15" t="s">
        <v>1216</v>
      </c>
      <c r="B34" s="15" t="s">
        <v>1217</v>
      </c>
      <c r="C34" s="15" t="s">
        <v>1218</v>
      </c>
    </row>
    <row r="35" customFormat="false" ht="30" hidden="false" customHeight="true" outlineLevel="0" collapsed="false">
      <c r="A35" s="14" t="s">
        <v>1219</v>
      </c>
      <c r="B35" s="14" t="s">
        <v>1220</v>
      </c>
      <c r="C35" s="14" t="s">
        <v>1221</v>
      </c>
    </row>
    <row r="36" customFormat="false" ht="30" hidden="false" customHeight="true" outlineLevel="0" collapsed="false">
      <c r="A36" s="15" t="s">
        <v>1222</v>
      </c>
      <c r="B36" s="15" t="s">
        <v>1223</v>
      </c>
      <c r="C36" s="15" t="s">
        <v>1224</v>
      </c>
    </row>
    <row r="37" customFormat="false" ht="30" hidden="false" customHeight="true" outlineLevel="0" collapsed="false">
      <c r="A37" s="14" t="s">
        <v>1225</v>
      </c>
      <c r="B37" s="14" t="s">
        <v>1226</v>
      </c>
      <c r="C37" s="14" t="s">
        <v>1227</v>
      </c>
    </row>
    <row r="38" customFormat="false" ht="30" hidden="false" customHeight="true" outlineLevel="0" collapsed="false">
      <c r="A38" s="15" t="s">
        <v>1228</v>
      </c>
      <c r="B38" s="15" t="s">
        <v>1229</v>
      </c>
      <c r="C38" s="15" t="s">
        <v>1230</v>
      </c>
    </row>
    <row r="39" customFormat="false" ht="30" hidden="false" customHeight="true" outlineLevel="0" collapsed="false">
      <c r="A39" s="14" t="s">
        <v>1231</v>
      </c>
      <c r="B39" s="14" t="s">
        <v>1232</v>
      </c>
      <c r="C39" s="14" t="s">
        <v>1233</v>
      </c>
    </row>
  </sheetData>
  <autoFilter ref="A1:I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44"/>
    <col collapsed="false" customWidth="true" hidden="false" outlineLevel="0" max="5" min="4" style="0" width="30"/>
    <col collapsed="false" customWidth="true" hidden="false" outlineLevel="0" max="6" min="6" style="0" width="78"/>
    <col collapsed="false" customWidth="true" hidden="false" outlineLevel="0" max="7" min="7" style="0" width="12"/>
    <col collapsed="false" customWidth="true" hidden="false" outlineLevel="0" max="8" min="8" style="0" width="18"/>
    <col collapsed="false" customWidth="true" hidden="false" outlineLevel="0" max="9" min="9" style="0" width="22"/>
    <col collapsed="false" customWidth="true" hidden="false" outlineLevel="0" max="10" min="10" style="0" width="26"/>
  </cols>
  <sheetData>
    <row r="1" customFormat="false" ht="30" hidden="false" customHeight="true" outlineLevel="0" collapsed="false">
      <c r="A1" s="5" t="s">
        <v>1234</v>
      </c>
      <c r="B1" s="5" t="s">
        <v>1235</v>
      </c>
      <c r="C1" s="5" t="s">
        <v>1236</v>
      </c>
      <c r="D1" s="5" t="s">
        <v>1237</v>
      </c>
      <c r="E1" s="5" t="s">
        <v>1238</v>
      </c>
      <c r="F1" s="5" t="s">
        <v>1239</v>
      </c>
      <c r="G1" s="5" t="s">
        <v>1240</v>
      </c>
      <c r="H1" s="5" t="s">
        <v>1241</v>
      </c>
      <c r="I1" s="5" t="s">
        <v>1242</v>
      </c>
      <c r="J1" s="5" t="s">
        <v>1243</v>
      </c>
    </row>
    <row r="2" customFormat="false" ht="42" hidden="false" customHeight="true" outlineLevel="0" collapsed="false">
      <c r="A2" s="6" t="s">
        <v>1244</v>
      </c>
      <c r="B2" s="6" t="s">
        <v>1245</v>
      </c>
      <c r="C2" s="6" t="s">
        <v>1246</v>
      </c>
      <c r="D2" s="6" t="s">
        <v>1247</v>
      </c>
      <c r="E2" s="6" t="s">
        <v>1248</v>
      </c>
      <c r="F2" s="7" t="s">
        <v>1249</v>
      </c>
      <c r="G2" s="6" t="s">
        <v>62</v>
      </c>
      <c r="H2" s="6" t="s">
        <v>1250</v>
      </c>
      <c r="I2" s="6" t="s">
        <v>1251</v>
      </c>
      <c r="J2" s="7" t="s">
        <v>1252</v>
      </c>
    </row>
    <row r="3" customFormat="false" ht="42" hidden="false" customHeight="true" outlineLevel="0" collapsed="false">
      <c r="A3" s="8" t="s">
        <v>1253</v>
      </c>
      <c r="B3" s="8" t="s">
        <v>1245</v>
      </c>
      <c r="C3" s="8" t="s">
        <v>1254</v>
      </c>
      <c r="D3" s="8" t="s">
        <v>1255</v>
      </c>
      <c r="E3" s="8" t="s">
        <v>1256</v>
      </c>
      <c r="F3" s="9" t="s">
        <v>1257</v>
      </c>
      <c r="G3" s="8" t="s">
        <v>1258</v>
      </c>
      <c r="H3" s="8" t="s">
        <v>1259</v>
      </c>
      <c r="I3" s="8" t="s">
        <v>1260</v>
      </c>
      <c r="J3" s="9" t="s">
        <v>1252</v>
      </c>
    </row>
    <row r="4" customFormat="false" ht="42" hidden="false" customHeight="true" outlineLevel="0" collapsed="false">
      <c r="A4" s="6" t="s">
        <v>1261</v>
      </c>
      <c r="B4" s="6" t="s">
        <v>1245</v>
      </c>
      <c r="C4" s="6" t="s">
        <v>1262</v>
      </c>
      <c r="D4" s="6" t="s">
        <v>1263</v>
      </c>
      <c r="E4" s="6" t="s">
        <v>1264</v>
      </c>
      <c r="F4" s="7" t="s">
        <v>1265</v>
      </c>
      <c r="G4" s="6" t="s">
        <v>62</v>
      </c>
      <c r="H4" s="6" t="s">
        <v>62</v>
      </c>
      <c r="I4" s="6" t="s">
        <v>1251</v>
      </c>
      <c r="J4" s="7" t="s">
        <v>1252</v>
      </c>
    </row>
    <row r="5" customFormat="false" ht="42" hidden="false" customHeight="true" outlineLevel="0" collapsed="false">
      <c r="A5" s="8" t="s">
        <v>1266</v>
      </c>
      <c r="B5" s="8" t="s">
        <v>216</v>
      </c>
      <c r="C5" s="8" t="s">
        <v>1267</v>
      </c>
      <c r="D5" s="8" t="s">
        <v>1268</v>
      </c>
      <c r="E5" s="8" t="s">
        <v>1269</v>
      </c>
      <c r="F5" s="9" t="s">
        <v>1270</v>
      </c>
      <c r="G5" s="8" t="s">
        <v>1271</v>
      </c>
      <c r="H5" s="8" t="s">
        <v>1272</v>
      </c>
      <c r="I5" s="8" t="s">
        <v>1273</v>
      </c>
      <c r="J5" s="9" t="s">
        <v>59</v>
      </c>
    </row>
    <row r="6" customFormat="false" ht="42" hidden="false" customHeight="true" outlineLevel="0" collapsed="false">
      <c r="A6" s="6" t="s">
        <v>1274</v>
      </c>
      <c r="B6" s="6" t="s">
        <v>216</v>
      </c>
      <c r="C6" s="6" t="s">
        <v>1275</v>
      </c>
      <c r="D6" s="6" t="s">
        <v>1276</v>
      </c>
      <c r="E6" s="6" t="s">
        <v>1277</v>
      </c>
      <c r="F6" s="7" t="s">
        <v>1278</v>
      </c>
      <c r="G6" s="6" t="s">
        <v>1271</v>
      </c>
      <c r="H6" s="6" t="s">
        <v>65</v>
      </c>
      <c r="I6" s="6" t="s">
        <v>1279</v>
      </c>
      <c r="J6" s="7" t="s">
        <v>1280</v>
      </c>
    </row>
    <row r="7" customFormat="false" ht="42" hidden="false" customHeight="true" outlineLevel="0" collapsed="false">
      <c r="A7" s="8" t="s">
        <v>1281</v>
      </c>
      <c r="B7" s="8" t="s">
        <v>216</v>
      </c>
      <c r="C7" s="8" t="s">
        <v>1282</v>
      </c>
      <c r="D7" s="8" t="s">
        <v>1283</v>
      </c>
      <c r="E7" s="8" t="s">
        <v>1277</v>
      </c>
      <c r="F7" s="9" t="s">
        <v>1284</v>
      </c>
      <c r="G7" s="8" t="s">
        <v>1271</v>
      </c>
      <c r="H7" s="8" t="s">
        <v>65</v>
      </c>
      <c r="I7" s="8" t="s">
        <v>1285</v>
      </c>
      <c r="J7" s="9" t="s">
        <v>62</v>
      </c>
    </row>
    <row r="8" customFormat="false" ht="42" hidden="false" customHeight="true" outlineLevel="0" collapsed="false">
      <c r="A8" s="6" t="s">
        <v>1286</v>
      </c>
      <c r="B8" s="6" t="s">
        <v>1287</v>
      </c>
      <c r="C8" s="6" t="s">
        <v>1288</v>
      </c>
      <c r="D8" s="6" t="s">
        <v>1289</v>
      </c>
      <c r="E8" s="6" t="s">
        <v>1290</v>
      </c>
      <c r="F8" s="7" t="s">
        <v>1291</v>
      </c>
      <c r="G8" s="6" t="s">
        <v>1271</v>
      </c>
      <c r="H8" s="6" t="s">
        <v>65</v>
      </c>
      <c r="I8" s="6" t="s">
        <v>1292</v>
      </c>
      <c r="J8" s="7" t="s">
        <v>59</v>
      </c>
    </row>
    <row r="9" customFormat="false" ht="42" hidden="false" customHeight="true" outlineLevel="0" collapsed="false">
      <c r="A9" s="8" t="s">
        <v>1293</v>
      </c>
      <c r="B9" s="8" t="s">
        <v>1287</v>
      </c>
      <c r="C9" s="8" t="s">
        <v>1294</v>
      </c>
      <c r="D9" s="8" t="s">
        <v>1295</v>
      </c>
      <c r="E9" s="8" t="s">
        <v>1296</v>
      </c>
      <c r="F9" s="9" t="s">
        <v>1297</v>
      </c>
      <c r="G9" s="8" t="s">
        <v>1271</v>
      </c>
      <c r="H9" s="8" t="s">
        <v>1298</v>
      </c>
      <c r="I9" s="8" t="s">
        <v>1299</v>
      </c>
      <c r="J9" s="9" t="s">
        <v>59</v>
      </c>
    </row>
    <row r="10" customFormat="false" ht="42" hidden="false" customHeight="true" outlineLevel="0" collapsed="false">
      <c r="A10" s="6" t="s">
        <v>1300</v>
      </c>
      <c r="B10" s="6" t="s">
        <v>1287</v>
      </c>
      <c r="C10" s="6" t="s">
        <v>1301</v>
      </c>
      <c r="D10" s="6" t="s">
        <v>1302</v>
      </c>
      <c r="E10" s="6" t="s">
        <v>1303</v>
      </c>
      <c r="F10" s="7" t="s">
        <v>1304</v>
      </c>
      <c r="G10" s="6" t="s">
        <v>62</v>
      </c>
      <c r="H10" s="6" t="s">
        <v>62</v>
      </c>
      <c r="I10" s="6" t="s">
        <v>1305</v>
      </c>
      <c r="J10" s="7" t="s">
        <v>59</v>
      </c>
    </row>
    <row r="11" customFormat="false" ht="42" hidden="false" customHeight="true" outlineLevel="0" collapsed="false">
      <c r="A11" s="8" t="s">
        <v>1306</v>
      </c>
      <c r="B11" s="8" t="s">
        <v>1307</v>
      </c>
      <c r="C11" s="8" t="s">
        <v>1308</v>
      </c>
      <c r="D11" s="8" t="s">
        <v>1295</v>
      </c>
      <c r="E11" s="8" t="s">
        <v>1309</v>
      </c>
      <c r="F11" s="9" t="s">
        <v>1310</v>
      </c>
      <c r="G11" s="8" t="s">
        <v>1271</v>
      </c>
      <c r="H11" s="8" t="s">
        <v>65</v>
      </c>
      <c r="I11" s="8" t="s">
        <v>1311</v>
      </c>
      <c r="J11" s="9" t="s">
        <v>59</v>
      </c>
    </row>
    <row r="12" customFormat="false" ht="42" hidden="false" customHeight="true" outlineLevel="0" collapsed="false">
      <c r="A12" s="6" t="s">
        <v>1312</v>
      </c>
      <c r="B12" s="6" t="s">
        <v>323</v>
      </c>
      <c r="C12" s="6" t="s">
        <v>1313</v>
      </c>
      <c r="D12" s="6" t="s">
        <v>1314</v>
      </c>
      <c r="E12" s="6" t="s">
        <v>1264</v>
      </c>
      <c r="F12" s="7" t="s">
        <v>1315</v>
      </c>
      <c r="G12" s="6" t="s">
        <v>1271</v>
      </c>
      <c r="H12" s="6" t="s">
        <v>1272</v>
      </c>
      <c r="I12" s="6" t="s">
        <v>1316</v>
      </c>
      <c r="J12" s="7" t="s">
        <v>59</v>
      </c>
    </row>
    <row r="13" customFormat="false" ht="42" hidden="false" customHeight="true" outlineLevel="0" collapsed="false">
      <c r="A13" s="8" t="s">
        <v>1317</v>
      </c>
      <c r="B13" s="8" t="s">
        <v>1318</v>
      </c>
      <c r="C13" s="8" t="s">
        <v>1319</v>
      </c>
      <c r="D13" s="8" t="s">
        <v>1320</v>
      </c>
      <c r="E13" s="8" t="s">
        <v>1321</v>
      </c>
      <c r="F13" s="9" t="s">
        <v>1322</v>
      </c>
      <c r="G13" s="8" t="s">
        <v>1271</v>
      </c>
      <c r="H13" s="8" t="s">
        <v>1272</v>
      </c>
      <c r="I13" s="8" t="s">
        <v>1323</v>
      </c>
      <c r="J13" s="9" t="s">
        <v>59</v>
      </c>
    </row>
    <row r="14" customFormat="false" ht="42" hidden="false" customHeight="true" outlineLevel="0" collapsed="false">
      <c r="A14" s="6" t="s">
        <v>1324</v>
      </c>
      <c r="B14" s="6" t="s">
        <v>1318</v>
      </c>
      <c r="C14" s="6" t="s">
        <v>1325</v>
      </c>
      <c r="D14" s="6" t="s">
        <v>1326</v>
      </c>
      <c r="E14" s="6" t="s">
        <v>1327</v>
      </c>
      <c r="F14" s="7" t="s">
        <v>1328</v>
      </c>
      <c r="G14" s="6" t="s">
        <v>1271</v>
      </c>
      <c r="H14" s="6" t="s">
        <v>65</v>
      </c>
      <c r="I14" s="6" t="s">
        <v>1329</v>
      </c>
      <c r="J14" s="7" t="s">
        <v>59</v>
      </c>
    </row>
    <row r="15" customFormat="false" ht="42" hidden="false" customHeight="true" outlineLevel="0" collapsed="false">
      <c r="A15" s="8" t="s">
        <v>1330</v>
      </c>
      <c r="B15" s="8" t="s">
        <v>657</v>
      </c>
      <c r="C15" s="8" t="s">
        <v>1331</v>
      </c>
      <c r="D15" s="8" t="s">
        <v>1332</v>
      </c>
      <c r="E15" s="8" t="s">
        <v>1333</v>
      </c>
      <c r="F15" s="9" t="s">
        <v>1334</v>
      </c>
      <c r="G15" s="8" t="s">
        <v>1271</v>
      </c>
      <c r="H15" s="8" t="s">
        <v>1272</v>
      </c>
      <c r="I15" s="8" t="s">
        <v>1335</v>
      </c>
      <c r="J15" s="9" t="s">
        <v>59</v>
      </c>
    </row>
    <row r="16" customFormat="false" ht="42" hidden="false" customHeight="true" outlineLevel="0" collapsed="false">
      <c r="A16" s="6" t="s">
        <v>1336</v>
      </c>
      <c r="B16" s="6" t="s">
        <v>1337</v>
      </c>
      <c r="C16" s="6" t="s">
        <v>1338</v>
      </c>
      <c r="D16" s="6" t="s">
        <v>1295</v>
      </c>
      <c r="E16" s="6" t="s">
        <v>1309</v>
      </c>
      <c r="F16" s="7" t="s">
        <v>1339</v>
      </c>
      <c r="G16" s="6" t="s">
        <v>62</v>
      </c>
      <c r="H16" s="6" t="s">
        <v>62</v>
      </c>
      <c r="I16" s="6" t="s">
        <v>1340</v>
      </c>
      <c r="J16" s="7" t="s">
        <v>62</v>
      </c>
    </row>
    <row r="17" customFormat="false" ht="42" hidden="false" customHeight="true" outlineLevel="0" collapsed="false">
      <c r="A17" s="8" t="s">
        <v>1341</v>
      </c>
      <c r="B17" s="8" t="s">
        <v>1342</v>
      </c>
      <c r="C17" s="8" t="s">
        <v>1343</v>
      </c>
      <c r="D17" s="8" t="s">
        <v>1295</v>
      </c>
      <c r="E17" s="8" t="s">
        <v>1296</v>
      </c>
      <c r="F17" s="9" t="s">
        <v>1344</v>
      </c>
      <c r="G17" s="8" t="s">
        <v>1271</v>
      </c>
      <c r="H17" s="8" t="s">
        <v>65</v>
      </c>
      <c r="I17" s="8" t="s">
        <v>1299</v>
      </c>
      <c r="J17" s="9" t="s">
        <v>59</v>
      </c>
    </row>
    <row r="18" customFormat="false" ht="42" hidden="false" customHeight="true" outlineLevel="0" collapsed="false">
      <c r="A18" s="6" t="s">
        <v>1345</v>
      </c>
      <c r="B18" s="6" t="s">
        <v>650</v>
      </c>
      <c r="C18" s="6" t="s">
        <v>1346</v>
      </c>
      <c r="D18" s="6" t="s">
        <v>1302</v>
      </c>
      <c r="E18" s="6" t="s">
        <v>1303</v>
      </c>
      <c r="F18" s="7" t="s">
        <v>1347</v>
      </c>
      <c r="G18" s="6" t="s">
        <v>1271</v>
      </c>
      <c r="H18" s="6" t="s">
        <v>1272</v>
      </c>
      <c r="I18" s="6" t="s">
        <v>1348</v>
      </c>
      <c r="J18" s="7" t="s">
        <v>62</v>
      </c>
    </row>
    <row r="19" customFormat="false" ht="42" hidden="false" customHeight="true" outlineLevel="0" collapsed="false">
      <c r="A19" s="8" t="s">
        <v>1349</v>
      </c>
      <c r="B19" s="8" t="s">
        <v>1318</v>
      </c>
      <c r="C19" s="8" t="s">
        <v>1350</v>
      </c>
      <c r="D19" s="8" t="s">
        <v>1351</v>
      </c>
      <c r="E19" s="8" t="s">
        <v>1352</v>
      </c>
      <c r="F19" s="9" t="s">
        <v>1353</v>
      </c>
      <c r="G19" s="8" t="s">
        <v>62</v>
      </c>
      <c r="H19" s="8" t="s">
        <v>62</v>
      </c>
      <c r="I19" s="8" t="s">
        <v>1354</v>
      </c>
      <c r="J19" s="9" t="s">
        <v>62</v>
      </c>
    </row>
    <row r="20" customFormat="false" ht="42" hidden="false" customHeight="true" outlineLevel="0" collapsed="false">
      <c r="A20" s="6" t="s">
        <v>1355</v>
      </c>
      <c r="B20" s="6" t="s">
        <v>1356</v>
      </c>
      <c r="C20" s="6" t="s">
        <v>1357</v>
      </c>
      <c r="D20" s="6" t="s">
        <v>1351</v>
      </c>
      <c r="E20" s="6" t="s">
        <v>1358</v>
      </c>
      <c r="F20" s="7" t="s">
        <v>1359</v>
      </c>
      <c r="G20" s="6" t="s">
        <v>62</v>
      </c>
      <c r="H20" s="6" t="s">
        <v>65</v>
      </c>
      <c r="I20" s="6" t="s">
        <v>1360</v>
      </c>
      <c r="J20" s="7" t="s">
        <v>62</v>
      </c>
    </row>
    <row r="21" customFormat="false" ht="42" hidden="false" customHeight="true" outlineLevel="0" collapsed="false">
      <c r="A21" s="8" t="s">
        <v>1361</v>
      </c>
      <c r="B21" s="8" t="s">
        <v>1318</v>
      </c>
      <c r="C21" s="8" t="s">
        <v>1362</v>
      </c>
      <c r="D21" s="8" t="s">
        <v>1363</v>
      </c>
      <c r="E21" s="8" t="s">
        <v>1364</v>
      </c>
      <c r="F21" s="9" t="s">
        <v>1365</v>
      </c>
      <c r="G21" s="8" t="s">
        <v>1271</v>
      </c>
      <c r="H21" s="8" t="s">
        <v>65</v>
      </c>
      <c r="I21" s="8" t="s">
        <v>1366</v>
      </c>
      <c r="J21" s="9" t="s">
        <v>59</v>
      </c>
    </row>
    <row r="22" customFormat="false" ht="42" hidden="false" customHeight="true" outlineLevel="0" collapsed="false">
      <c r="A22" s="6" t="s">
        <v>1367</v>
      </c>
      <c r="B22" s="6" t="s">
        <v>1368</v>
      </c>
      <c r="C22" s="6" t="s">
        <v>1369</v>
      </c>
      <c r="D22" s="6" t="s">
        <v>1370</v>
      </c>
      <c r="E22" s="6" t="s">
        <v>1371</v>
      </c>
      <c r="F22" s="7" t="s">
        <v>1372</v>
      </c>
      <c r="G22" s="6" t="s">
        <v>62</v>
      </c>
      <c r="H22" s="6" t="s">
        <v>62</v>
      </c>
      <c r="I22" s="6" t="s">
        <v>1373</v>
      </c>
      <c r="J22" s="7" t="s">
        <v>62</v>
      </c>
    </row>
    <row r="23" customFormat="false" ht="42" hidden="false" customHeight="true" outlineLevel="0" collapsed="false">
      <c r="A23" s="8" t="s">
        <v>1374</v>
      </c>
      <c r="B23" s="8" t="s">
        <v>1318</v>
      </c>
      <c r="C23" s="8" t="s">
        <v>1375</v>
      </c>
      <c r="D23" s="8" t="s">
        <v>1376</v>
      </c>
      <c r="E23" s="8" t="s">
        <v>1377</v>
      </c>
      <c r="F23" s="9" t="s">
        <v>1378</v>
      </c>
      <c r="G23" s="8" t="s">
        <v>62</v>
      </c>
      <c r="H23" s="8" t="s">
        <v>62</v>
      </c>
      <c r="I23" s="8" t="s">
        <v>1379</v>
      </c>
      <c r="J23" s="9" t="s">
        <v>59</v>
      </c>
    </row>
  </sheetData>
  <autoFilter ref="A1:J23"/>
  <conditionalFormatting sqref="G2:G23">
    <cfRule type="cellIs" priority="2" operator="equal" aboveAverage="0" equalAverage="0" bottom="0" percent="0" rank="0" text="" dxfId="16">
      <formula>"HIGH"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46"/>
    <col collapsed="false" customWidth="true" hidden="false" outlineLevel="0" max="3" min="3" style="0" width="20"/>
    <col collapsed="false" customWidth="true" hidden="false" outlineLevel="0" max="4" min="4" style="0" width="48"/>
    <col collapsed="false" customWidth="true" hidden="false" outlineLevel="0" max="5" min="5" style="0" width="74"/>
    <col collapsed="false" customWidth="true" hidden="false" outlineLevel="0" max="6" min="6" style="0" width="30"/>
    <col collapsed="false" customWidth="true" hidden="false" outlineLevel="0" max="7" min="7" style="0" width="34"/>
  </cols>
  <sheetData>
    <row r="1" customFormat="false" ht="30" hidden="false" customHeight="true" outlineLevel="0" collapsed="false">
      <c r="A1" s="5" t="s">
        <v>1380</v>
      </c>
      <c r="B1" s="5" t="s">
        <v>1381</v>
      </c>
      <c r="C1" s="5" t="s">
        <v>1382</v>
      </c>
      <c r="D1" s="5" t="s">
        <v>1383</v>
      </c>
      <c r="E1" s="5" t="s">
        <v>1384</v>
      </c>
      <c r="F1" s="5" t="s">
        <v>1385</v>
      </c>
      <c r="G1" s="5" t="s">
        <v>69</v>
      </c>
    </row>
    <row r="2" customFormat="false" ht="30" hidden="false" customHeight="true" outlineLevel="0" collapsed="false">
      <c r="A2" s="6" t="s">
        <v>1386</v>
      </c>
      <c r="B2" s="6" t="s">
        <v>1387</v>
      </c>
      <c r="C2" s="6" t="s">
        <v>1388</v>
      </c>
      <c r="D2" s="6" t="s">
        <v>1389</v>
      </c>
      <c r="E2" s="7" t="s">
        <v>1390</v>
      </c>
      <c r="F2" s="6" t="s">
        <v>1361</v>
      </c>
      <c r="G2" s="7" t="s">
        <v>59</v>
      </c>
    </row>
    <row r="3" customFormat="false" ht="30" hidden="false" customHeight="true" outlineLevel="0" collapsed="false">
      <c r="A3" s="8" t="s">
        <v>1391</v>
      </c>
      <c r="B3" s="8" t="s">
        <v>1392</v>
      </c>
      <c r="C3" s="8" t="s">
        <v>1388</v>
      </c>
      <c r="D3" s="8" t="s">
        <v>1393</v>
      </c>
      <c r="E3" s="9" t="s">
        <v>1394</v>
      </c>
      <c r="F3" s="8" t="s">
        <v>1395</v>
      </c>
      <c r="G3" s="9" t="s">
        <v>1396</v>
      </c>
    </row>
    <row r="4" customFormat="false" ht="30" hidden="false" customHeight="true" outlineLevel="0" collapsed="false">
      <c r="A4" s="6" t="s">
        <v>1397</v>
      </c>
      <c r="B4" s="6" t="s">
        <v>1398</v>
      </c>
      <c r="C4" s="6" t="s">
        <v>1388</v>
      </c>
      <c r="D4" s="6" t="s">
        <v>32</v>
      </c>
      <c r="E4" s="7" t="s">
        <v>1399</v>
      </c>
      <c r="F4" s="6" t="s">
        <v>1274</v>
      </c>
      <c r="G4" s="7" t="s">
        <v>59</v>
      </c>
    </row>
    <row r="5" customFormat="false" ht="30" hidden="false" customHeight="true" outlineLevel="0" collapsed="false">
      <c r="A5" s="8" t="s">
        <v>1400</v>
      </c>
      <c r="B5" s="8" t="s">
        <v>1401</v>
      </c>
      <c r="C5" s="8" t="s">
        <v>1388</v>
      </c>
      <c r="D5" s="8" t="s">
        <v>1402</v>
      </c>
      <c r="E5" s="9" t="s">
        <v>1403</v>
      </c>
      <c r="F5" s="8" t="s">
        <v>1361</v>
      </c>
      <c r="G5" s="9" t="s">
        <v>59</v>
      </c>
    </row>
    <row r="6" customFormat="false" ht="30" hidden="false" customHeight="true" outlineLevel="0" collapsed="false">
      <c r="A6" s="6" t="s">
        <v>1404</v>
      </c>
      <c r="B6" s="6" t="s">
        <v>1405</v>
      </c>
      <c r="C6" s="6" t="s">
        <v>1388</v>
      </c>
      <c r="D6" s="6" t="s">
        <v>32</v>
      </c>
      <c r="E6" s="7" t="s">
        <v>1406</v>
      </c>
      <c r="F6" s="6" t="s">
        <v>1407</v>
      </c>
      <c r="G6" s="7" t="s">
        <v>59</v>
      </c>
    </row>
    <row r="7" customFormat="false" ht="30" hidden="false" customHeight="true" outlineLevel="0" collapsed="false">
      <c r="A7" s="8" t="s">
        <v>1408</v>
      </c>
      <c r="B7" s="8" t="s">
        <v>1409</v>
      </c>
      <c r="C7" s="8" t="s">
        <v>1388</v>
      </c>
      <c r="D7" s="8" t="s">
        <v>32</v>
      </c>
      <c r="E7" s="9" t="s">
        <v>1410</v>
      </c>
      <c r="F7" s="8" t="s">
        <v>1317</v>
      </c>
      <c r="G7" s="9" t="s">
        <v>59</v>
      </c>
    </row>
    <row r="8" customFormat="false" ht="30" hidden="false" customHeight="true" outlineLevel="0" collapsed="false">
      <c r="A8" s="6" t="s">
        <v>1411</v>
      </c>
      <c r="B8" s="6" t="s">
        <v>1412</v>
      </c>
      <c r="C8" s="6" t="s">
        <v>1388</v>
      </c>
      <c r="D8" s="6" t="s">
        <v>32</v>
      </c>
      <c r="E8" s="7" t="s">
        <v>1413</v>
      </c>
      <c r="F8" s="6" t="s">
        <v>1414</v>
      </c>
      <c r="G8" s="7" t="s">
        <v>59</v>
      </c>
    </row>
    <row r="9" customFormat="false" ht="30" hidden="false" customHeight="true" outlineLevel="0" collapsed="false">
      <c r="A9" s="8" t="s">
        <v>1415</v>
      </c>
      <c r="B9" s="8" t="s">
        <v>1416</v>
      </c>
      <c r="C9" s="8" t="s">
        <v>1388</v>
      </c>
      <c r="D9" s="8" t="s">
        <v>32</v>
      </c>
      <c r="E9" s="9" t="s">
        <v>1417</v>
      </c>
      <c r="F9" s="8" t="s">
        <v>1418</v>
      </c>
      <c r="G9" s="9" t="s">
        <v>59</v>
      </c>
    </row>
    <row r="10" customFormat="false" ht="30" hidden="false" customHeight="true" outlineLevel="0" collapsed="false">
      <c r="A10" s="6" t="s">
        <v>1419</v>
      </c>
      <c r="B10" s="6" t="s">
        <v>1420</v>
      </c>
      <c r="C10" s="6" t="s">
        <v>1388</v>
      </c>
      <c r="D10" s="6" t="s">
        <v>32</v>
      </c>
      <c r="E10" s="7" t="s">
        <v>1421</v>
      </c>
      <c r="F10" s="6" t="s">
        <v>1274</v>
      </c>
      <c r="G10" s="7" t="s">
        <v>59</v>
      </c>
    </row>
    <row r="11" customFormat="false" ht="30" hidden="false" customHeight="true" outlineLevel="0" collapsed="false">
      <c r="A11" s="8" t="s">
        <v>1251</v>
      </c>
      <c r="B11" s="8" t="s">
        <v>1422</v>
      </c>
      <c r="C11" s="8" t="s">
        <v>1423</v>
      </c>
      <c r="D11" s="8" t="s">
        <v>1424</v>
      </c>
      <c r="E11" s="9" t="s">
        <v>1425</v>
      </c>
      <c r="F11" s="8" t="s">
        <v>1426</v>
      </c>
      <c r="G11" s="9" t="s">
        <v>59</v>
      </c>
    </row>
    <row r="12" customFormat="false" ht="30" hidden="false" customHeight="true" outlineLevel="0" collapsed="false">
      <c r="A12" s="6" t="s">
        <v>1427</v>
      </c>
      <c r="B12" s="6" t="s">
        <v>1428</v>
      </c>
      <c r="C12" s="6" t="s">
        <v>1423</v>
      </c>
      <c r="D12" s="6" t="s">
        <v>32</v>
      </c>
      <c r="E12" s="7" t="s">
        <v>1429</v>
      </c>
      <c r="F12" s="6" t="s">
        <v>1374</v>
      </c>
      <c r="G12" s="7" t="s">
        <v>59</v>
      </c>
    </row>
    <row r="13" customFormat="false" ht="30" hidden="false" customHeight="true" outlineLevel="0" collapsed="false">
      <c r="A13" s="8" t="s">
        <v>1340</v>
      </c>
      <c r="B13" s="8" t="s">
        <v>1430</v>
      </c>
      <c r="C13" s="8" t="s">
        <v>1423</v>
      </c>
      <c r="D13" s="8" t="s">
        <v>1431</v>
      </c>
      <c r="E13" s="9" t="s">
        <v>1432</v>
      </c>
      <c r="F13" s="8" t="s">
        <v>1433</v>
      </c>
      <c r="G13" s="9" t="s">
        <v>59</v>
      </c>
    </row>
    <row r="14" customFormat="false" ht="30" hidden="false" customHeight="true" outlineLevel="0" collapsed="false">
      <c r="A14" s="6" t="s">
        <v>1434</v>
      </c>
      <c r="B14" s="6" t="s">
        <v>1435</v>
      </c>
      <c r="C14" s="6" t="s">
        <v>1423</v>
      </c>
      <c r="D14" s="6" t="s">
        <v>32</v>
      </c>
      <c r="E14" s="7" t="s">
        <v>1436</v>
      </c>
      <c r="F14" s="6" t="s">
        <v>1317</v>
      </c>
      <c r="G14" s="7" t="s">
        <v>59</v>
      </c>
    </row>
    <row r="15" customFormat="false" ht="30" hidden="false" customHeight="true" outlineLevel="0" collapsed="false">
      <c r="A15" s="8" t="s">
        <v>1437</v>
      </c>
      <c r="B15" s="8" t="s">
        <v>1438</v>
      </c>
      <c r="C15" s="8" t="s">
        <v>1423</v>
      </c>
      <c r="D15" s="8" t="s">
        <v>32</v>
      </c>
      <c r="E15" s="9" t="s">
        <v>1439</v>
      </c>
      <c r="F15" s="8" t="s">
        <v>1312</v>
      </c>
      <c r="G15" s="9" t="s">
        <v>59</v>
      </c>
    </row>
    <row r="16" customFormat="false" ht="30" hidden="false" customHeight="true" outlineLevel="0" collapsed="false">
      <c r="A16" s="6" t="s">
        <v>1440</v>
      </c>
      <c r="B16" s="6" t="s">
        <v>1441</v>
      </c>
      <c r="C16" s="6" t="s">
        <v>1423</v>
      </c>
      <c r="D16" s="6" t="s">
        <v>32</v>
      </c>
      <c r="E16" s="7" t="s">
        <v>1442</v>
      </c>
      <c r="F16" s="6" t="s">
        <v>1306</v>
      </c>
      <c r="G16" s="7" t="s">
        <v>59</v>
      </c>
    </row>
    <row r="17" customFormat="false" ht="30" hidden="false" customHeight="true" outlineLevel="0" collapsed="false">
      <c r="A17" s="8" t="s">
        <v>1443</v>
      </c>
      <c r="B17" s="8" t="s">
        <v>1444</v>
      </c>
      <c r="C17" s="8" t="s">
        <v>1423</v>
      </c>
      <c r="D17" s="8" t="s">
        <v>32</v>
      </c>
      <c r="E17" s="9" t="s">
        <v>1445</v>
      </c>
      <c r="F17" s="8" t="s">
        <v>1446</v>
      </c>
      <c r="G17" s="9" t="s">
        <v>59</v>
      </c>
    </row>
    <row r="18" customFormat="false" ht="30" hidden="false" customHeight="true" outlineLevel="0" collapsed="false">
      <c r="A18" s="6" t="s">
        <v>1305</v>
      </c>
      <c r="B18" s="6" t="s">
        <v>1447</v>
      </c>
      <c r="C18" s="6" t="s">
        <v>1423</v>
      </c>
      <c r="D18" s="6" t="s">
        <v>32</v>
      </c>
      <c r="E18" s="7" t="s">
        <v>1448</v>
      </c>
      <c r="F18" s="6" t="s">
        <v>1449</v>
      </c>
      <c r="G18" s="7" t="s">
        <v>59</v>
      </c>
    </row>
    <row r="19" customFormat="false" ht="30" hidden="false" customHeight="true" outlineLevel="0" collapsed="false">
      <c r="A19" s="8" t="s">
        <v>1260</v>
      </c>
      <c r="B19" s="8" t="s">
        <v>1450</v>
      </c>
      <c r="C19" s="8" t="s">
        <v>1423</v>
      </c>
      <c r="D19" s="8" t="s">
        <v>32</v>
      </c>
      <c r="E19" s="9" t="s">
        <v>1451</v>
      </c>
      <c r="F19" s="8" t="s">
        <v>1253</v>
      </c>
      <c r="G19" s="9" t="s">
        <v>59</v>
      </c>
    </row>
    <row r="20" customFormat="false" ht="30" hidden="false" customHeight="true" outlineLevel="0" collapsed="false">
      <c r="A20" s="6" t="s">
        <v>1335</v>
      </c>
      <c r="B20" s="6" t="s">
        <v>1452</v>
      </c>
      <c r="C20" s="6" t="s">
        <v>1423</v>
      </c>
      <c r="D20" s="6" t="s">
        <v>32</v>
      </c>
      <c r="E20" s="7" t="s">
        <v>1453</v>
      </c>
      <c r="F20" s="6" t="s">
        <v>1454</v>
      </c>
      <c r="G20" s="7" t="s">
        <v>59</v>
      </c>
    </row>
    <row r="21" customFormat="false" ht="30" hidden="false" customHeight="true" outlineLevel="0" collapsed="false">
      <c r="A21" s="8" t="s">
        <v>1455</v>
      </c>
      <c r="B21" s="8" t="s">
        <v>1456</v>
      </c>
      <c r="C21" s="8" t="s">
        <v>1423</v>
      </c>
      <c r="D21" s="8" t="s">
        <v>32</v>
      </c>
      <c r="E21" s="9" t="s">
        <v>1457</v>
      </c>
      <c r="F21" s="8" t="s">
        <v>1345</v>
      </c>
      <c r="G21" s="9" t="s">
        <v>62</v>
      </c>
    </row>
    <row r="22" customFormat="false" ht="30" hidden="false" customHeight="true" outlineLevel="0" collapsed="false">
      <c r="A22" s="6" t="s">
        <v>1458</v>
      </c>
      <c r="B22" s="6" t="s">
        <v>1459</v>
      </c>
      <c r="C22" s="6" t="s">
        <v>1423</v>
      </c>
      <c r="D22" s="6" t="s">
        <v>32</v>
      </c>
      <c r="E22" s="7" t="s">
        <v>1460</v>
      </c>
      <c r="F22" s="6" t="s">
        <v>1355</v>
      </c>
      <c r="G22" s="7" t="s">
        <v>59</v>
      </c>
    </row>
    <row r="23" customFormat="false" ht="30" hidden="false" customHeight="true" outlineLevel="0" collapsed="false">
      <c r="A23" s="8" t="s">
        <v>1461</v>
      </c>
      <c r="B23" s="8" t="s">
        <v>1462</v>
      </c>
      <c r="C23" s="8" t="s">
        <v>1423</v>
      </c>
      <c r="D23" s="8" t="s">
        <v>32</v>
      </c>
      <c r="E23" s="9" t="s">
        <v>1463</v>
      </c>
      <c r="F23" s="8" t="s">
        <v>1274</v>
      </c>
      <c r="G23" s="9" t="s">
        <v>59</v>
      </c>
    </row>
    <row r="24" customFormat="false" ht="30" hidden="false" customHeight="true" outlineLevel="0" collapsed="false">
      <c r="A24" s="6" t="s">
        <v>1354</v>
      </c>
      <c r="B24" s="6" t="s">
        <v>1464</v>
      </c>
      <c r="C24" s="6" t="s">
        <v>1423</v>
      </c>
      <c r="D24" s="6" t="s">
        <v>32</v>
      </c>
      <c r="E24" s="7" t="s">
        <v>1465</v>
      </c>
      <c r="F24" s="6" t="s">
        <v>1466</v>
      </c>
      <c r="G24" s="7" t="s">
        <v>59</v>
      </c>
    </row>
    <row r="25" customFormat="false" ht="30" hidden="false" customHeight="true" outlineLevel="0" collapsed="false">
      <c r="A25" s="8" t="s">
        <v>1467</v>
      </c>
      <c r="B25" s="8" t="s">
        <v>1468</v>
      </c>
      <c r="C25" s="8" t="s">
        <v>1423</v>
      </c>
      <c r="D25" s="8" t="s">
        <v>32</v>
      </c>
      <c r="E25" s="9" t="s">
        <v>1469</v>
      </c>
      <c r="F25" s="8" t="s">
        <v>1281</v>
      </c>
      <c r="G25" s="9" t="s">
        <v>62</v>
      </c>
    </row>
    <row r="26" customFormat="false" ht="30" hidden="false" customHeight="true" outlineLevel="0" collapsed="false">
      <c r="A26" s="6" t="s">
        <v>1470</v>
      </c>
      <c r="B26" s="6" t="s">
        <v>1471</v>
      </c>
      <c r="C26" s="6" t="s">
        <v>1388</v>
      </c>
      <c r="D26" s="6" t="s">
        <v>32</v>
      </c>
      <c r="E26" s="7" t="s">
        <v>1472</v>
      </c>
      <c r="F26" s="6" t="s">
        <v>1473</v>
      </c>
      <c r="G26" s="7" t="s">
        <v>59</v>
      </c>
    </row>
    <row r="27" customFormat="false" ht="30" hidden="false" customHeight="true" outlineLevel="0" collapsed="false">
      <c r="A27" s="8" t="s">
        <v>1474</v>
      </c>
      <c r="B27" s="8" t="s">
        <v>1475</v>
      </c>
      <c r="C27" s="8" t="s">
        <v>1388</v>
      </c>
      <c r="D27" s="8" t="s">
        <v>1476</v>
      </c>
      <c r="E27" s="9" t="s">
        <v>1477</v>
      </c>
      <c r="F27" s="8" t="s">
        <v>1293</v>
      </c>
      <c r="G27" s="9" t="s">
        <v>59</v>
      </c>
    </row>
    <row r="28" customFormat="false" ht="30" hidden="false" customHeight="true" outlineLevel="0" collapsed="false">
      <c r="A28" s="6" t="s">
        <v>1478</v>
      </c>
      <c r="B28" s="6" t="s">
        <v>1479</v>
      </c>
      <c r="C28" s="6" t="s">
        <v>1388</v>
      </c>
      <c r="D28" s="6" t="s">
        <v>32</v>
      </c>
      <c r="E28" s="7" t="s">
        <v>1480</v>
      </c>
      <c r="F28" s="6" t="s">
        <v>1361</v>
      </c>
      <c r="G28" s="7" t="s">
        <v>59</v>
      </c>
    </row>
    <row r="29" customFormat="false" ht="30" hidden="false" customHeight="true" outlineLevel="0" collapsed="false">
      <c r="A29" s="8" t="s">
        <v>1481</v>
      </c>
      <c r="B29" s="8" t="s">
        <v>1482</v>
      </c>
      <c r="C29" s="8" t="s">
        <v>1388</v>
      </c>
      <c r="D29" s="8" t="s">
        <v>32</v>
      </c>
      <c r="E29" s="9" t="s">
        <v>1483</v>
      </c>
      <c r="F29" s="8" t="s">
        <v>1293</v>
      </c>
      <c r="G29" s="9" t="s">
        <v>59</v>
      </c>
    </row>
    <row r="30" customFormat="false" ht="30" hidden="false" customHeight="true" outlineLevel="0" collapsed="false">
      <c r="A30" s="6" t="s">
        <v>1484</v>
      </c>
      <c r="B30" s="6" t="s">
        <v>1485</v>
      </c>
      <c r="C30" s="6" t="s">
        <v>1388</v>
      </c>
      <c r="D30" s="6" t="s">
        <v>32</v>
      </c>
      <c r="E30" s="7" t="s">
        <v>1486</v>
      </c>
      <c r="F30" s="6" t="s">
        <v>1361</v>
      </c>
      <c r="G30" s="7" t="s">
        <v>59</v>
      </c>
    </row>
    <row r="31" customFormat="false" ht="30" hidden="false" customHeight="true" outlineLevel="0" collapsed="false">
      <c r="A31" s="8" t="s">
        <v>1487</v>
      </c>
      <c r="B31" s="8" t="s">
        <v>1488</v>
      </c>
      <c r="C31" s="8" t="s">
        <v>1388</v>
      </c>
      <c r="D31" s="8" t="s">
        <v>1489</v>
      </c>
      <c r="E31" s="9" t="s">
        <v>1490</v>
      </c>
      <c r="F31" s="8" t="s">
        <v>1324</v>
      </c>
      <c r="G31" s="9" t="s">
        <v>59</v>
      </c>
    </row>
  </sheetData>
  <autoFilter ref="A1:G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42"/>
    <col collapsed="false" customWidth="true" hidden="false" outlineLevel="0" max="4" min="4" style="0" width="26"/>
    <col collapsed="false" customWidth="true" hidden="false" outlineLevel="0" max="5" min="5" style="0" width="38"/>
    <col collapsed="false" customWidth="true" hidden="false" outlineLevel="0" max="6" min="6" style="0" width="92"/>
    <col collapsed="false" customWidth="true" hidden="false" outlineLevel="0" max="7" min="7" style="0" width="62"/>
    <col collapsed="false" customWidth="true" hidden="false" outlineLevel="0" max="8" min="8" style="0" width="24"/>
  </cols>
  <sheetData>
    <row r="1" customFormat="false" ht="30" hidden="false" customHeight="true" outlineLevel="0" collapsed="false">
      <c r="A1" s="5" t="s">
        <v>1491</v>
      </c>
      <c r="B1" s="5" t="s">
        <v>1492</v>
      </c>
      <c r="C1" s="5" t="s">
        <v>1493</v>
      </c>
      <c r="D1" s="5" t="s">
        <v>1494</v>
      </c>
      <c r="E1" s="5" t="s">
        <v>1495</v>
      </c>
      <c r="F1" s="5" t="s">
        <v>1496</v>
      </c>
      <c r="G1" s="5" t="s">
        <v>1497</v>
      </c>
      <c r="H1" s="5" t="s">
        <v>69</v>
      </c>
    </row>
    <row r="2" customFormat="false" ht="61.5" hidden="false" customHeight="true" outlineLevel="0" collapsed="false">
      <c r="A2" s="6" t="s">
        <v>1498</v>
      </c>
      <c r="B2" s="6" t="s">
        <v>1499</v>
      </c>
      <c r="C2" s="6" t="s">
        <v>1500</v>
      </c>
      <c r="D2" s="6" t="s">
        <v>98</v>
      </c>
      <c r="E2" s="6" t="s">
        <v>1501</v>
      </c>
      <c r="F2" s="7" t="s">
        <v>1502</v>
      </c>
      <c r="G2" s="7" t="s">
        <v>1503</v>
      </c>
      <c r="H2" s="6" t="s">
        <v>1504</v>
      </c>
    </row>
    <row r="3" customFormat="false" ht="61.5" hidden="false" customHeight="true" outlineLevel="0" collapsed="false">
      <c r="A3" s="8" t="s">
        <v>1505</v>
      </c>
      <c r="B3" s="8" t="s">
        <v>1499</v>
      </c>
      <c r="C3" s="8" t="s">
        <v>1506</v>
      </c>
      <c r="D3" s="8" t="s">
        <v>838</v>
      </c>
      <c r="E3" s="8" t="s">
        <v>1507</v>
      </c>
      <c r="F3" s="9" t="s">
        <v>1508</v>
      </c>
      <c r="G3" s="9" t="s">
        <v>1509</v>
      </c>
      <c r="H3" s="8" t="s">
        <v>1504</v>
      </c>
    </row>
    <row r="4" customFormat="false" ht="61.5" hidden="false" customHeight="true" outlineLevel="0" collapsed="false">
      <c r="A4" s="6" t="s">
        <v>1510</v>
      </c>
      <c r="B4" s="6" t="s">
        <v>1499</v>
      </c>
      <c r="C4" s="6" t="s">
        <v>1511</v>
      </c>
      <c r="D4" s="6" t="s">
        <v>838</v>
      </c>
      <c r="E4" s="6" t="s">
        <v>1507</v>
      </c>
      <c r="F4" s="7" t="s">
        <v>1512</v>
      </c>
      <c r="G4" s="7" t="s">
        <v>1513</v>
      </c>
      <c r="H4" s="6" t="s">
        <v>1504</v>
      </c>
    </row>
    <row r="5" customFormat="false" ht="61.5" hidden="false" customHeight="true" outlineLevel="0" collapsed="false">
      <c r="A5" s="8" t="s">
        <v>1514</v>
      </c>
      <c r="B5" s="8" t="s">
        <v>1499</v>
      </c>
      <c r="C5" s="8" t="s">
        <v>1515</v>
      </c>
      <c r="D5" s="8" t="s">
        <v>838</v>
      </c>
      <c r="E5" s="8" t="s">
        <v>1507</v>
      </c>
      <c r="F5" s="9" t="s">
        <v>1516</v>
      </c>
      <c r="G5" s="9" t="s">
        <v>1517</v>
      </c>
      <c r="H5" s="8" t="s">
        <v>1504</v>
      </c>
    </row>
    <row r="6" customFormat="false" ht="61.5" hidden="false" customHeight="true" outlineLevel="0" collapsed="false">
      <c r="A6" s="6" t="s">
        <v>1518</v>
      </c>
      <c r="B6" s="6" t="s">
        <v>1499</v>
      </c>
      <c r="C6" s="6" t="s">
        <v>1519</v>
      </c>
      <c r="D6" s="6" t="s">
        <v>1520</v>
      </c>
      <c r="E6" s="6" t="s">
        <v>1507</v>
      </c>
      <c r="F6" s="7" t="s">
        <v>1521</v>
      </c>
      <c r="G6" s="7" t="s">
        <v>1522</v>
      </c>
      <c r="H6" s="6" t="s">
        <v>1504</v>
      </c>
    </row>
    <row r="7" customFormat="false" ht="61.5" hidden="false" customHeight="true" outlineLevel="0" collapsed="false">
      <c r="A7" s="8" t="s">
        <v>1523</v>
      </c>
      <c r="B7" s="8" t="s">
        <v>1524</v>
      </c>
      <c r="C7" s="8" t="s">
        <v>1525</v>
      </c>
      <c r="D7" s="8" t="s">
        <v>838</v>
      </c>
      <c r="E7" s="8" t="s">
        <v>1526</v>
      </c>
      <c r="F7" s="9" t="s">
        <v>1527</v>
      </c>
      <c r="G7" s="9" t="s">
        <v>1528</v>
      </c>
      <c r="H7" s="8" t="s">
        <v>1504</v>
      </c>
    </row>
    <row r="8" customFormat="false" ht="61.5" hidden="false" customHeight="true" outlineLevel="0" collapsed="false">
      <c r="A8" s="6" t="s">
        <v>1529</v>
      </c>
      <c r="B8" s="6" t="s">
        <v>1530</v>
      </c>
      <c r="C8" s="6" t="s">
        <v>1531</v>
      </c>
      <c r="D8" s="6" t="s">
        <v>216</v>
      </c>
      <c r="E8" s="6" t="s">
        <v>1532</v>
      </c>
      <c r="F8" s="7" t="s">
        <v>1533</v>
      </c>
      <c r="G8" s="7" t="s">
        <v>1534</v>
      </c>
      <c r="H8" s="6" t="s">
        <v>1535</v>
      </c>
    </row>
    <row r="9" customFormat="false" ht="61.5" hidden="false" customHeight="true" outlineLevel="0" collapsed="false">
      <c r="A9" s="8" t="s">
        <v>1536</v>
      </c>
      <c r="B9" s="8" t="s">
        <v>1537</v>
      </c>
      <c r="C9" s="8" t="s">
        <v>1538</v>
      </c>
      <c r="D9" s="8" t="s">
        <v>1539</v>
      </c>
      <c r="E9" s="8" t="s">
        <v>1540</v>
      </c>
      <c r="F9" s="9" t="s">
        <v>1541</v>
      </c>
      <c r="G9" s="9" t="s">
        <v>1542</v>
      </c>
      <c r="H9" s="8" t="s">
        <v>1543</v>
      </c>
    </row>
    <row r="10" customFormat="false" ht="61.5" hidden="false" customHeight="true" outlineLevel="0" collapsed="false">
      <c r="A10" s="6" t="s">
        <v>1544</v>
      </c>
      <c r="B10" s="6" t="s">
        <v>1545</v>
      </c>
      <c r="C10" s="6" t="s">
        <v>1546</v>
      </c>
      <c r="D10" s="6" t="s">
        <v>1547</v>
      </c>
      <c r="E10" s="6" t="s">
        <v>1548</v>
      </c>
      <c r="F10" s="7" t="s">
        <v>1549</v>
      </c>
      <c r="G10" s="7" t="s">
        <v>1550</v>
      </c>
      <c r="H10" s="6" t="s">
        <v>1551</v>
      </c>
    </row>
    <row r="11" customFormat="false" ht="61.5" hidden="false" customHeight="true" outlineLevel="0" collapsed="false">
      <c r="A11" s="8" t="s">
        <v>1552</v>
      </c>
      <c r="B11" s="8" t="s">
        <v>1537</v>
      </c>
      <c r="C11" s="8" t="s">
        <v>1553</v>
      </c>
      <c r="D11" s="8" t="s">
        <v>1554</v>
      </c>
      <c r="E11" s="8" t="s">
        <v>1548</v>
      </c>
      <c r="F11" s="9" t="s">
        <v>1555</v>
      </c>
      <c r="G11" s="9" t="s">
        <v>1556</v>
      </c>
      <c r="H11" s="8" t="s">
        <v>1551</v>
      </c>
    </row>
    <row r="12" customFormat="false" ht="61.5" hidden="false" customHeight="true" outlineLevel="0" collapsed="false">
      <c r="A12" s="6" t="s">
        <v>1557</v>
      </c>
      <c r="B12" s="6" t="s">
        <v>1524</v>
      </c>
      <c r="C12" s="6" t="s">
        <v>1558</v>
      </c>
      <c r="D12" s="6" t="s">
        <v>1559</v>
      </c>
      <c r="E12" s="6" t="s">
        <v>1560</v>
      </c>
      <c r="F12" s="7" t="s">
        <v>1561</v>
      </c>
      <c r="G12" s="7" t="s">
        <v>1562</v>
      </c>
      <c r="H12" s="6" t="s">
        <v>1543</v>
      </c>
    </row>
    <row r="13" customFormat="false" ht="61.5" hidden="false" customHeight="true" outlineLevel="0" collapsed="false">
      <c r="A13" s="8" t="s">
        <v>1563</v>
      </c>
      <c r="B13" s="8" t="s">
        <v>1564</v>
      </c>
      <c r="C13" s="8" t="s">
        <v>1565</v>
      </c>
      <c r="D13" s="8" t="s">
        <v>1566</v>
      </c>
      <c r="E13" s="8" t="s">
        <v>1567</v>
      </c>
      <c r="F13" s="9" t="s">
        <v>1568</v>
      </c>
      <c r="G13" s="9" t="s">
        <v>1569</v>
      </c>
      <c r="H13" s="8" t="s">
        <v>1570</v>
      </c>
    </row>
    <row r="14" customFormat="false" ht="61.5" hidden="false" customHeight="true" outlineLevel="0" collapsed="false">
      <c r="A14" s="6" t="s">
        <v>1571</v>
      </c>
      <c r="B14" s="6" t="s">
        <v>1537</v>
      </c>
      <c r="C14" s="6" t="s">
        <v>1572</v>
      </c>
      <c r="D14" s="6" t="s">
        <v>1318</v>
      </c>
      <c r="E14" s="6" t="s">
        <v>1548</v>
      </c>
      <c r="F14" s="7" t="s">
        <v>1573</v>
      </c>
      <c r="G14" s="7" t="s">
        <v>1574</v>
      </c>
      <c r="H14" s="6" t="s">
        <v>1575</v>
      </c>
    </row>
    <row r="15" customFormat="false" ht="61.5" hidden="false" customHeight="true" outlineLevel="0" collapsed="false">
      <c r="A15" s="8" t="s">
        <v>1576</v>
      </c>
      <c r="B15" s="8" t="s">
        <v>1577</v>
      </c>
      <c r="C15" s="8" t="s">
        <v>1578</v>
      </c>
      <c r="D15" s="8" t="s">
        <v>1579</v>
      </c>
      <c r="E15" s="8" t="s">
        <v>1580</v>
      </c>
      <c r="F15" s="9" t="s">
        <v>1581</v>
      </c>
      <c r="G15" s="9" t="s">
        <v>1582</v>
      </c>
      <c r="H15" s="8" t="s">
        <v>1575</v>
      </c>
    </row>
  </sheetData>
  <autoFilter ref="A1:H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s>
  <sheetData>
    <row r="1" customFormat="false" ht="19.7" hidden="false" customHeight="false" outlineLevel="0" collapsed="false">
      <c r="A1" s="16" t="s">
        <v>1583</v>
      </c>
    </row>
    <row r="2" customFormat="false" ht="15" hidden="false" customHeight="false" outlineLevel="0" collapsed="false">
      <c r="A2" s="17" t="s">
        <v>1584</v>
      </c>
    </row>
    <row r="4" customFormat="false" ht="15" hidden="false" customHeight="false" outlineLevel="0" collapsed="false">
      <c r="A4" s="18" t="s">
        <v>1585</v>
      </c>
      <c r="B4" s="19"/>
    </row>
    <row r="5" customFormat="false" ht="15" hidden="false" customHeight="false" outlineLevel="0" collapsed="false">
      <c r="A5" s="20" t="s">
        <v>1586</v>
      </c>
      <c r="B5" s="21" t="n">
        <f aca="false">COUNTA(02_Master_Inventory!$A$2:$A$45)</f>
        <v>44</v>
      </c>
    </row>
    <row r="6" customFormat="false" ht="15" hidden="false" customHeight="false" outlineLevel="0" collapsed="false">
      <c r="A6" s="20" t="s">
        <v>1587</v>
      </c>
      <c r="B6" s="21" t="n">
        <f aca="false">COUNTA(03_Paths_Binaries!$A$2:$A$151)</f>
        <v>150</v>
      </c>
    </row>
    <row r="7" customFormat="false" ht="15" hidden="false" customHeight="false" outlineLevel="0" collapsed="false">
      <c r="A7" s="20" t="s">
        <v>1588</v>
      </c>
      <c r="B7" s="21" t="n">
        <f aca="false">COUNTA(05_Registry_Artifacts!$A$2:$A$19)</f>
        <v>18</v>
      </c>
    </row>
    <row r="8" customFormat="false" ht="15" hidden="false" customHeight="false" outlineLevel="0" collapsed="false">
      <c r="A8" s="20" t="s">
        <v>1589</v>
      </c>
      <c r="B8" s="21" t="n">
        <f aca="false">COUNTA(06_Network_Artifacts!$A$2:$A$50)</f>
        <v>49</v>
      </c>
    </row>
    <row r="9" customFormat="false" ht="15" hidden="false" customHeight="false" outlineLevel="0" collapsed="false">
      <c r="A9" s="20" t="s">
        <v>1590</v>
      </c>
      <c r="B9" s="21" t="n">
        <f aca="false">COUNTA(07_Process_Service!$A$2:$A$38)</f>
        <v>37</v>
      </c>
    </row>
    <row r="10" customFormat="false" ht="15" hidden="false" customHeight="false" outlineLevel="0" collapsed="false">
      <c r="A10" s="20" t="s">
        <v>1591</v>
      </c>
      <c r="B10" s="21" t="n">
        <f aca="false">COUNTA(08_MCP_Artifacts!$A$2:$A$26)</f>
        <v>25</v>
      </c>
    </row>
    <row r="11" customFormat="false" ht="15" hidden="false" customHeight="false" outlineLevel="0" collapsed="false">
      <c r="A11" s="20" t="s">
        <v>1592</v>
      </c>
      <c r="B11" s="21" t="n">
        <f aca="false">COUNTA(09_Detections!$A$2:$A$23)</f>
        <v>22</v>
      </c>
    </row>
    <row r="12" customFormat="false" ht="15" hidden="false" customHeight="false" outlineLevel="0" collapsed="false">
      <c r="A12" s="20" t="s">
        <v>1593</v>
      </c>
      <c r="B12" s="21" t="n">
        <f aca="false">COUNTA(10_MITRE_Mapping!$A$2:$A$31)</f>
        <v>30</v>
      </c>
    </row>
    <row r="13" customFormat="false" ht="15" hidden="false" customHeight="false" outlineLevel="0" collapsed="false">
      <c r="A13" s="20" t="s">
        <v>1594</v>
      </c>
      <c r="B13" s="21" t="n">
        <f aca="false">COUNTA(11_Threat_Intel!$A$2:$A$15)</f>
        <v>14</v>
      </c>
    </row>
    <row r="15" customFormat="false" ht="15" hidden="false" customHeight="false" outlineLevel="0" collapsed="false">
      <c r="A15" s="18" t="s">
        <v>1595</v>
      </c>
      <c r="B15" s="19"/>
    </row>
    <row r="16" customFormat="false" ht="15" hidden="false" customHeight="false" outlineLevel="0" collapsed="false">
      <c r="A16" s="20" t="s">
        <v>56</v>
      </c>
      <c r="B16" s="21" t="n">
        <f aca="false">SUMPRODUCT(--EXACT(02_Master_Inventory!$K$2:$K$45,"Critical"))</f>
        <v>11</v>
      </c>
    </row>
    <row r="17" customFormat="false" ht="15" hidden="false" customHeight="false" outlineLevel="0" collapsed="false">
      <c r="A17" s="20" t="s">
        <v>59</v>
      </c>
      <c r="B17" s="21" t="n">
        <f aca="false">SUMPRODUCT(--EXACT(02_Master_Inventory!$K$2:$K$45,"High"))</f>
        <v>21</v>
      </c>
    </row>
    <row r="18" customFormat="false" ht="15" hidden="false" customHeight="false" outlineLevel="0" collapsed="false">
      <c r="A18" s="20" t="s">
        <v>62</v>
      </c>
      <c r="B18" s="21" t="n">
        <f aca="false">SUMPRODUCT(--EXACT(02_Master_Inventory!$K$2:$K$45,"Medium"))</f>
        <v>10</v>
      </c>
    </row>
    <row r="19" customFormat="false" ht="15" hidden="false" customHeight="false" outlineLevel="0" collapsed="false">
      <c r="A19" s="20" t="s">
        <v>65</v>
      </c>
      <c r="B19" s="21" t="n">
        <f aca="false">SUMPRODUCT(--EXACT(02_Master_Inventory!$K$2:$K$45,"Low"))</f>
        <v>2</v>
      </c>
    </row>
    <row r="21" customFormat="false" ht="15" hidden="false" customHeight="false" outlineLevel="0" collapsed="false">
      <c r="A21" s="18" t="s">
        <v>1596</v>
      </c>
      <c r="B21" s="19"/>
    </row>
    <row r="22" customFormat="false" ht="15" hidden="false" customHeight="false" outlineLevel="0" collapsed="false">
      <c r="A22" s="20" t="s">
        <v>1597</v>
      </c>
      <c r="B22" s="21" t="n">
        <f aca="false">SUMPRODUCT(--ISNUMBER(SEARCH("Yes",02_Master_Inventory!$G$2:$G$45)))</f>
        <v>30</v>
      </c>
    </row>
    <row r="23" customFormat="false" ht="15" hidden="false" customHeight="false" outlineLevel="0" collapsed="false">
      <c r="A23" s="20" t="s">
        <v>1598</v>
      </c>
      <c r="B23" s="21" t="n">
        <f aca="false">SUMPRODUCT(--EXACT(02_Master_Inventory!$G$2:$G$45,"Partial"))</f>
        <v>3</v>
      </c>
    </row>
    <row r="24" customFormat="false" ht="15" hidden="false" customHeight="false" outlineLevel="0" collapsed="false">
      <c r="A24" s="20" t="s">
        <v>1599</v>
      </c>
      <c r="B24" s="21" t="n">
        <f aca="false">SUMPRODUCT(--(EXACT(02_Master_Inventory!$H$2:$H$45,"No")=FALSE()))</f>
        <v>23</v>
      </c>
    </row>
    <row r="25" customFormat="false" ht="15" hidden="false" customHeight="false" outlineLevel="0" collapsed="false">
      <c r="A25" s="20" t="s">
        <v>1600</v>
      </c>
      <c r="B25" s="21" t="n">
        <f aca="false">SUMPRODUCT(--ISNUMBER(SEARCH("Yes",02_Master_Inventory!$I$2:$I$45)))</f>
        <v>20</v>
      </c>
    </row>
    <row r="26" customFormat="false" ht="15" hidden="false" customHeight="false" outlineLevel="0" collapsed="false">
      <c r="A26" s="20" t="s">
        <v>1601</v>
      </c>
      <c r="B26" s="21" t="n">
        <f aca="false">SUMPRODUCT(--(EXACT(02_Master_Inventory!$J$2:$J$45,"No")=FALSE()))</f>
        <v>36</v>
      </c>
    </row>
    <row r="28" customFormat="false" ht="15" hidden="false" customHeight="false" outlineLevel="0" collapsed="false">
      <c r="A28" s="18" t="s">
        <v>1602</v>
      </c>
      <c r="B28" s="19"/>
    </row>
    <row r="29" customFormat="false" ht="15" hidden="false" customHeight="false" outlineLevel="0" collapsed="false">
      <c r="A29" s="20" t="s">
        <v>1603</v>
      </c>
      <c r="B29" s="21" t="n">
        <f aca="false">SUMPRODUCT(--EXACT(02_Master_Inventory!$L$2:$L$45,"High"))</f>
        <v>27</v>
      </c>
    </row>
    <row r="30" customFormat="false" ht="15" hidden="false" customHeight="false" outlineLevel="0" collapsed="false">
      <c r="A30" s="20" t="s">
        <v>1604</v>
      </c>
      <c r="B30" s="21" t="n">
        <f aca="false">SUMPRODUCT(--EXACT(02_Master_Inventory!$L$2:$L$45,"Medium"))</f>
        <v>13</v>
      </c>
    </row>
    <row r="31" customFormat="false" ht="15" hidden="false" customHeight="false" outlineLevel="0" collapsed="false">
      <c r="A31" s="20" t="s">
        <v>1605</v>
      </c>
      <c r="B31" s="21" t="n">
        <f aca="false">SUMPRODUCT(--EXACT(02_Master_Inventory!$L$2:$L$45,"Low"))</f>
        <v>4</v>
      </c>
    </row>
    <row r="34" customFormat="false" ht="15" hidden="false" customHeight="false" outlineLevel="0" collapsed="false">
      <c r="A34" s="22" t="s">
        <v>1606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2026-08-11T18:59:53Z</dcterms:created>
  <dc:creator>openpyxl</dc:creator>
  <dc:description/>
  <dc:language>en-US</dc:language>
  <cp:lastModifiedBy/>
  <dcterms:modified xsi:type="dcterms:W3CDTF">2026-08-11T18:59:53Z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